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lmoxarifado\04 - Registros\01 - Procedimento Gestão\"/>
    </mc:Choice>
  </mc:AlternateContent>
  <xr:revisionPtr revIDLastSave="0" documentId="13_ncr:1_{5AD2418A-5E0C-4090-9BB3-24C2A6A4E12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g-BCM-038" sheetId="31" r:id="rId1"/>
    <sheet name="Inativados" sheetId="32" r:id="rId2"/>
  </sheets>
  <definedNames>
    <definedName name="_xlnm._FilterDatabase" localSheetId="1" hidden="1">Inativados!$A$4:$R$616</definedName>
    <definedName name="_xlnm._FilterDatabase" localSheetId="0" hidden="1">'Reg-BCM-038'!$A$4:$Q$521</definedName>
    <definedName name="_xlnm.Print_Area" localSheetId="1">Inativados!$A$1:$I$616</definedName>
    <definedName name="_xlnm.Print_Area" localSheetId="0">'Reg-BCM-038'!$A$1:$H$521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32" l="1"/>
  <c r="L40" i="32" s="1"/>
  <c r="K39" i="32"/>
  <c r="L39" i="32" s="1"/>
  <c r="J34" i="32"/>
  <c r="K34" i="32" s="1"/>
  <c r="J24" i="32" l="1"/>
  <c r="J220" i="31" l="1"/>
  <c r="J221" i="31"/>
  <c r="J222" i="31"/>
  <c r="J223" i="31"/>
  <c r="K17" i="32"/>
  <c r="L17" i="32" s="1"/>
  <c r="K18" i="32"/>
  <c r="L18" i="32" s="1"/>
  <c r="K19" i="32"/>
  <c r="L19" i="32" s="1"/>
  <c r="K20" i="32"/>
  <c r="L20" i="32" s="1"/>
  <c r="K21" i="32"/>
  <c r="L21" i="32" s="1"/>
  <c r="K22" i="32"/>
  <c r="L22" i="32" s="1"/>
  <c r="K23" i="32"/>
  <c r="L23" i="32" s="1"/>
  <c r="K24" i="32"/>
  <c r="L24" i="32" s="1"/>
  <c r="K25" i="32"/>
  <c r="L25" i="32" s="1"/>
  <c r="K26" i="32"/>
  <c r="L26" i="32" s="1"/>
  <c r="K27" i="32"/>
  <c r="L27" i="32" s="1"/>
  <c r="K28" i="32"/>
  <c r="L28" i="32" s="1"/>
  <c r="K29" i="32"/>
  <c r="L29" i="32" s="1"/>
  <c r="K30" i="32"/>
  <c r="L30" i="32" s="1"/>
  <c r="K31" i="32"/>
  <c r="L31" i="32" s="1"/>
  <c r="K32" i="32"/>
  <c r="L32" i="32" s="1"/>
  <c r="K33" i="32"/>
  <c r="L33" i="32" s="1"/>
  <c r="K35" i="32"/>
  <c r="L35" i="32" s="1"/>
  <c r="K36" i="32"/>
  <c r="L36" i="32" s="1"/>
  <c r="K37" i="32"/>
  <c r="L37" i="32" s="1"/>
  <c r="K38" i="32"/>
  <c r="L38" i="32" s="1"/>
  <c r="K41" i="32"/>
  <c r="L41" i="32" s="1"/>
  <c r="K42" i="32"/>
  <c r="L42" i="32" s="1"/>
  <c r="K43" i="32"/>
  <c r="L43" i="32" s="1"/>
  <c r="K44" i="32"/>
  <c r="L44" i="32" s="1"/>
  <c r="K45" i="32"/>
  <c r="L45" i="32" s="1"/>
  <c r="K46" i="32"/>
  <c r="L46" i="32" s="1"/>
  <c r="K47" i="32"/>
  <c r="L47" i="32" s="1"/>
  <c r="K48" i="32"/>
  <c r="L48" i="32" s="1"/>
  <c r="K49" i="32"/>
  <c r="L49" i="32" s="1"/>
  <c r="K50" i="32"/>
  <c r="L50" i="32" s="1"/>
  <c r="K51" i="32"/>
  <c r="L51" i="32" s="1"/>
  <c r="K52" i="32"/>
  <c r="L52" i="32" s="1"/>
  <c r="K53" i="32"/>
  <c r="L53" i="32" s="1"/>
  <c r="K54" i="32"/>
  <c r="L54" i="32" s="1"/>
  <c r="K55" i="32"/>
  <c r="L55" i="32" s="1"/>
  <c r="K56" i="32"/>
  <c r="L56" i="32" s="1"/>
  <c r="K57" i="32"/>
  <c r="L57" i="32" s="1"/>
  <c r="K58" i="32"/>
  <c r="L58" i="32" s="1"/>
  <c r="K59" i="32"/>
  <c r="L59" i="32" s="1"/>
  <c r="K60" i="32"/>
  <c r="L60" i="32" s="1"/>
  <c r="K61" i="32"/>
  <c r="L61" i="32" s="1"/>
  <c r="K62" i="32"/>
  <c r="L62" i="32" s="1"/>
  <c r="K63" i="32"/>
  <c r="L63" i="32" s="1"/>
  <c r="K64" i="32"/>
  <c r="L64" i="32" s="1"/>
  <c r="K65" i="32"/>
  <c r="L65" i="32" s="1"/>
  <c r="K66" i="32"/>
  <c r="L66" i="32" s="1"/>
  <c r="K67" i="32"/>
  <c r="L67" i="32" s="1"/>
  <c r="K68" i="32"/>
  <c r="L68" i="32" s="1"/>
  <c r="K69" i="32"/>
  <c r="L69" i="32" s="1"/>
  <c r="K70" i="32"/>
  <c r="L70" i="32" s="1"/>
  <c r="K71" i="32"/>
  <c r="L71" i="32" s="1"/>
  <c r="K72" i="32"/>
  <c r="L72" i="32" s="1"/>
  <c r="K73" i="32"/>
  <c r="L73" i="32" s="1"/>
  <c r="K74" i="32"/>
  <c r="L74" i="32" s="1"/>
  <c r="K75" i="32"/>
  <c r="L75" i="32" s="1"/>
  <c r="K76" i="32"/>
  <c r="L76" i="32" s="1"/>
  <c r="K77" i="32"/>
  <c r="L77" i="32" s="1"/>
  <c r="K78" i="32"/>
  <c r="L78" i="32" s="1"/>
  <c r="K79" i="32"/>
  <c r="L79" i="32" s="1"/>
  <c r="K80" i="32"/>
  <c r="L80" i="32" s="1"/>
  <c r="K81" i="32"/>
  <c r="L81" i="32" s="1"/>
  <c r="K82" i="32"/>
  <c r="L82" i="32" s="1"/>
  <c r="K83" i="32"/>
  <c r="L83" i="32" s="1"/>
  <c r="K84" i="32"/>
  <c r="L84" i="32" s="1"/>
  <c r="K85" i="32"/>
  <c r="L85" i="32" s="1"/>
  <c r="K86" i="32"/>
  <c r="L86" i="32" s="1"/>
  <c r="K87" i="32"/>
  <c r="L87" i="32" s="1"/>
  <c r="K88" i="32"/>
  <c r="L88" i="32" s="1"/>
  <c r="K89" i="32"/>
  <c r="L89" i="32" s="1"/>
  <c r="K90" i="32"/>
  <c r="L90" i="32" s="1"/>
  <c r="K91" i="32"/>
  <c r="L91" i="32" s="1"/>
  <c r="K92" i="32"/>
  <c r="L92" i="32" s="1"/>
  <c r="K93" i="32"/>
  <c r="L93" i="32" s="1"/>
  <c r="K94" i="32"/>
  <c r="L94" i="32" s="1"/>
  <c r="K95" i="32"/>
  <c r="L95" i="32" s="1"/>
  <c r="K96" i="32"/>
  <c r="L96" i="32" s="1"/>
  <c r="K97" i="32"/>
  <c r="L97" i="32" s="1"/>
  <c r="K98" i="32"/>
  <c r="L98" i="32" s="1"/>
  <c r="K99" i="32"/>
  <c r="L99" i="32" s="1"/>
  <c r="K100" i="32"/>
  <c r="L100" i="32" s="1"/>
  <c r="K101" i="32"/>
  <c r="L101" i="32" s="1"/>
  <c r="K102" i="32"/>
  <c r="L102" i="32" s="1"/>
  <c r="K103" i="32"/>
  <c r="L103" i="32" s="1"/>
  <c r="K104" i="32"/>
  <c r="L104" i="32" s="1"/>
  <c r="K105" i="32"/>
  <c r="L105" i="32" s="1"/>
  <c r="K106" i="32"/>
  <c r="L106" i="32" s="1"/>
  <c r="K107" i="32"/>
  <c r="L107" i="32" s="1"/>
  <c r="K108" i="32"/>
  <c r="L108" i="32" s="1"/>
  <c r="K109" i="32"/>
  <c r="L109" i="32" s="1"/>
  <c r="K110" i="32"/>
  <c r="L110" i="32" s="1"/>
  <c r="K111" i="32"/>
  <c r="L111" i="32" s="1"/>
  <c r="K112" i="32"/>
  <c r="L112" i="32" s="1"/>
  <c r="K113" i="32"/>
  <c r="L113" i="32" s="1"/>
  <c r="K114" i="32"/>
  <c r="L114" i="32" s="1"/>
  <c r="K115" i="32"/>
  <c r="L115" i="32" s="1"/>
  <c r="K116" i="32"/>
  <c r="L116" i="32" s="1"/>
  <c r="K117" i="32"/>
  <c r="L117" i="32" s="1"/>
  <c r="K118" i="32"/>
  <c r="L118" i="32" s="1"/>
  <c r="K119" i="32"/>
  <c r="L119" i="32" s="1"/>
  <c r="K120" i="32"/>
  <c r="L120" i="32" s="1"/>
  <c r="K121" i="32"/>
  <c r="L121" i="32" s="1"/>
  <c r="K122" i="32"/>
  <c r="L122" i="32" s="1"/>
  <c r="K123" i="32"/>
  <c r="L123" i="32" s="1"/>
  <c r="K124" i="32"/>
  <c r="L124" i="32" s="1"/>
  <c r="K125" i="32"/>
  <c r="L125" i="32" s="1"/>
  <c r="K126" i="32"/>
  <c r="L126" i="32" s="1"/>
  <c r="K127" i="32"/>
  <c r="L127" i="32" s="1"/>
  <c r="K128" i="32"/>
  <c r="L128" i="32" s="1"/>
  <c r="K129" i="32"/>
  <c r="L129" i="32" s="1"/>
  <c r="K130" i="32"/>
  <c r="L130" i="32" s="1"/>
  <c r="K131" i="32"/>
  <c r="L131" i="32" s="1"/>
  <c r="K132" i="32"/>
  <c r="L132" i="32" s="1"/>
  <c r="K133" i="32"/>
  <c r="L133" i="32" s="1"/>
  <c r="K134" i="32"/>
  <c r="L134" i="32" s="1"/>
  <c r="K135" i="32"/>
  <c r="L135" i="32" s="1"/>
  <c r="K136" i="32"/>
  <c r="L136" i="32" s="1"/>
  <c r="K137" i="32"/>
  <c r="L137" i="32" s="1"/>
  <c r="K138" i="32"/>
  <c r="L138" i="32" s="1"/>
  <c r="K139" i="32"/>
  <c r="L139" i="32" s="1"/>
  <c r="K140" i="32"/>
  <c r="L140" i="32" s="1"/>
  <c r="K141" i="32"/>
  <c r="L141" i="32" s="1"/>
  <c r="K142" i="32"/>
  <c r="L142" i="32" s="1"/>
  <c r="K143" i="32"/>
  <c r="L143" i="32" s="1"/>
  <c r="K144" i="32"/>
  <c r="L144" i="32" s="1"/>
  <c r="K145" i="32"/>
  <c r="L145" i="32" s="1"/>
  <c r="K146" i="32"/>
  <c r="L146" i="32" s="1"/>
  <c r="K147" i="32"/>
  <c r="L147" i="32" s="1"/>
  <c r="K148" i="32"/>
  <c r="L148" i="32" s="1"/>
  <c r="K149" i="32"/>
  <c r="L149" i="32" s="1"/>
  <c r="K150" i="32"/>
  <c r="L150" i="32" s="1"/>
  <c r="K151" i="32"/>
  <c r="L151" i="32" s="1"/>
  <c r="K152" i="32"/>
  <c r="L152" i="32" s="1"/>
  <c r="K153" i="32"/>
  <c r="L153" i="32" s="1"/>
  <c r="K154" i="32"/>
  <c r="L154" i="32" s="1"/>
  <c r="K155" i="32"/>
  <c r="L155" i="32" s="1"/>
  <c r="K156" i="32"/>
  <c r="L156" i="32" s="1"/>
  <c r="K157" i="32"/>
  <c r="L157" i="32" s="1"/>
  <c r="K158" i="32"/>
  <c r="L158" i="32" s="1"/>
  <c r="K159" i="32"/>
  <c r="L159" i="32" s="1"/>
  <c r="K160" i="32"/>
  <c r="L160" i="32" s="1"/>
  <c r="K161" i="32"/>
  <c r="L161" i="32" s="1"/>
  <c r="K162" i="32"/>
  <c r="L162" i="32" s="1"/>
  <c r="K163" i="32"/>
  <c r="L163" i="32" s="1"/>
  <c r="K164" i="32"/>
  <c r="L164" i="32" s="1"/>
  <c r="K165" i="32"/>
  <c r="L165" i="32" s="1"/>
  <c r="K166" i="32"/>
  <c r="L166" i="32" s="1"/>
  <c r="K167" i="32"/>
  <c r="L167" i="32" s="1"/>
  <c r="K168" i="32"/>
  <c r="L168" i="32" s="1"/>
  <c r="K169" i="32"/>
  <c r="L169" i="32" s="1"/>
  <c r="K170" i="32"/>
  <c r="L170" i="32" s="1"/>
  <c r="K171" i="32"/>
  <c r="L171" i="32" s="1"/>
  <c r="K172" i="32"/>
  <c r="L172" i="32" s="1"/>
  <c r="K173" i="32"/>
  <c r="L173" i="32" s="1"/>
  <c r="K174" i="32"/>
  <c r="L174" i="32" s="1"/>
  <c r="K175" i="32"/>
  <c r="L175" i="32" s="1"/>
  <c r="K176" i="32"/>
  <c r="L176" i="32" s="1"/>
  <c r="K177" i="32"/>
  <c r="L177" i="32" s="1"/>
  <c r="K178" i="32"/>
  <c r="L178" i="32" s="1"/>
  <c r="K179" i="32"/>
  <c r="L179" i="32" s="1"/>
  <c r="K180" i="32"/>
  <c r="L180" i="32" s="1"/>
  <c r="K181" i="32"/>
  <c r="L181" i="32" s="1"/>
  <c r="K182" i="32"/>
  <c r="L182" i="32" s="1"/>
  <c r="K183" i="32"/>
  <c r="L183" i="32" s="1"/>
  <c r="K184" i="32"/>
  <c r="L184" i="32" s="1"/>
  <c r="K185" i="32"/>
  <c r="L185" i="32" s="1"/>
  <c r="K186" i="32"/>
  <c r="L186" i="32" s="1"/>
  <c r="K187" i="32"/>
  <c r="L187" i="32" s="1"/>
  <c r="K188" i="32"/>
  <c r="L188" i="32" s="1"/>
  <c r="K189" i="32"/>
  <c r="L189" i="32" s="1"/>
  <c r="K190" i="32"/>
  <c r="L190" i="32" s="1"/>
  <c r="K191" i="32"/>
  <c r="L191" i="32" s="1"/>
  <c r="K192" i="32"/>
  <c r="L192" i="32" s="1"/>
  <c r="K193" i="32"/>
  <c r="L193" i="32" s="1"/>
  <c r="K194" i="32"/>
  <c r="L194" i="32" s="1"/>
  <c r="K195" i="32"/>
  <c r="L195" i="32" s="1"/>
  <c r="K196" i="32"/>
  <c r="L196" i="32" s="1"/>
  <c r="K197" i="32"/>
  <c r="L197" i="32" s="1"/>
  <c r="K198" i="32"/>
  <c r="L198" i="32" s="1"/>
  <c r="K199" i="32"/>
  <c r="L199" i="32" s="1"/>
  <c r="K200" i="32"/>
  <c r="L200" i="32" s="1"/>
  <c r="K201" i="32"/>
  <c r="L201" i="32" s="1"/>
  <c r="K202" i="32"/>
  <c r="L202" i="32" s="1"/>
  <c r="K203" i="32"/>
  <c r="L203" i="32" s="1"/>
  <c r="K204" i="32"/>
  <c r="L204" i="32" s="1"/>
  <c r="K205" i="32"/>
  <c r="L205" i="32" s="1"/>
  <c r="K206" i="32"/>
  <c r="L206" i="32" s="1"/>
  <c r="K207" i="32"/>
  <c r="L207" i="32" s="1"/>
  <c r="K208" i="32"/>
  <c r="L208" i="32" s="1"/>
  <c r="K209" i="32"/>
  <c r="L209" i="32" s="1"/>
  <c r="K210" i="32"/>
  <c r="L210" i="32" s="1"/>
  <c r="K211" i="32"/>
  <c r="L211" i="32" s="1"/>
  <c r="K212" i="32"/>
  <c r="L212" i="32" s="1"/>
  <c r="K213" i="32"/>
  <c r="L213" i="32" s="1"/>
  <c r="K214" i="32"/>
  <c r="L214" i="32" s="1"/>
  <c r="K215" i="32"/>
  <c r="L215" i="32" s="1"/>
  <c r="K216" i="32"/>
  <c r="L216" i="32" s="1"/>
  <c r="K217" i="32"/>
  <c r="L217" i="32" s="1"/>
  <c r="K218" i="32"/>
  <c r="L218" i="32" s="1"/>
  <c r="K219" i="32"/>
  <c r="L219" i="32" s="1"/>
  <c r="K220" i="32"/>
  <c r="L220" i="32" s="1"/>
  <c r="K221" i="32"/>
  <c r="L221" i="32" s="1"/>
  <c r="K222" i="32"/>
  <c r="L222" i="32" s="1"/>
  <c r="K223" i="32"/>
  <c r="L223" i="32" s="1"/>
  <c r="K224" i="32"/>
  <c r="L224" i="32" s="1"/>
  <c r="K225" i="32"/>
  <c r="L225" i="32" s="1"/>
  <c r="K226" i="32"/>
  <c r="L226" i="32" s="1"/>
  <c r="K227" i="32"/>
  <c r="L227" i="32" s="1"/>
  <c r="K228" i="32"/>
  <c r="L228" i="32" s="1"/>
  <c r="K229" i="32"/>
  <c r="L229" i="32" s="1"/>
  <c r="K230" i="32"/>
  <c r="L230" i="32" s="1"/>
  <c r="K231" i="32"/>
  <c r="L231" i="32" s="1"/>
  <c r="K232" i="32"/>
  <c r="L232" i="32" s="1"/>
  <c r="K233" i="32"/>
  <c r="L233" i="32" s="1"/>
  <c r="K234" i="32"/>
  <c r="L234" i="32" s="1"/>
  <c r="K235" i="32"/>
  <c r="L235" i="32" s="1"/>
  <c r="K236" i="32"/>
  <c r="L236" i="32" s="1"/>
  <c r="K237" i="32"/>
  <c r="L237" i="32" s="1"/>
  <c r="K238" i="32"/>
  <c r="L238" i="32" s="1"/>
  <c r="K239" i="32"/>
  <c r="L239" i="32" s="1"/>
  <c r="K240" i="32"/>
  <c r="L240" i="32" s="1"/>
  <c r="K241" i="32"/>
  <c r="L241" i="32" s="1"/>
  <c r="K242" i="32"/>
  <c r="L242" i="32" s="1"/>
  <c r="K243" i="32"/>
  <c r="L243" i="32" s="1"/>
  <c r="K244" i="32"/>
  <c r="L244" i="32" s="1"/>
  <c r="K245" i="32"/>
  <c r="L245" i="32" s="1"/>
  <c r="K246" i="32"/>
  <c r="L246" i="32" s="1"/>
  <c r="K247" i="32"/>
  <c r="L247" i="32" s="1"/>
  <c r="K248" i="32"/>
  <c r="L248" i="32" s="1"/>
  <c r="K249" i="32"/>
  <c r="L249" i="32" s="1"/>
  <c r="K250" i="32"/>
  <c r="L250" i="32" s="1"/>
  <c r="K251" i="32"/>
  <c r="L251" i="32" s="1"/>
  <c r="K252" i="32"/>
  <c r="L252" i="32" s="1"/>
  <c r="K253" i="32"/>
  <c r="L253" i="32" s="1"/>
  <c r="K254" i="32"/>
  <c r="L254" i="32" s="1"/>
  <c r="K255" i="32"/>
  <c r="L255" i="32" s="1"/>
  <c r="K256" i="32"/>
  <c r="L256" i="32" s="1"/>
  <c r="K257" i="32"/>
  <c r="L257" i="32" s="1"/>
  <c r="K258" i="32"/>
  <c r="L258" i="32" s="1"/>
  <c r="K259" i="32"/>
  <c r="L259" i="32" s="1"/>
  <c r="K260" i="32"/>
  <c r="L260" i="32" s="1"/>
  <c r="K261" i="32"/>
  <c r="L261" i="32" s="1"/>
  <c r="K262" i="32"/>
  <c r="L262" i="32" s="1"/>
  <c r="K263" i="32"/>
  <c r="L263" i="32" s="1"/>
  <c r="K264" i="32"/>
  <c r="L264" i="32" s="1"/>
  <c r="K265" i="32"/>
  <c r="L265" i="32" s="1"/>
  <c r="K266" i="32"/>
  <c r="L266" i="32" s="1"/>
  <c r="K267" i="32"/>
  <c r="L267" i="32" s="1"/>
  <c r="K268" i="32"/>
  <c r="L268" i="32" s="1"/>
  <c r="K269" i="32"/>
  <c r="L269" i="32" s="1"/>
  <c r="K270" i="32"/>
  <c r="L270" i="32" s="1"/>
  <c r="K271" i="32"/>
  <c r="L271" i="32" s="1"/>
  <c r="K272" i="32"/>
  <c r="L272" i="32" s="1"/>
  <c r="K273" i="32"/>
  <c r="L273" i="32" s="1"/>
  <c r="K274" i="32"/>
  <c r="L274" i="32" s="1"/>
  <c r="K275" i="32"/>
  <c r="L275" i="32" s="1"/>
  <c r="K276" i="32"/>
  <c r="L276" i="32" s="1"/>
  <c r="K277" i="32"/>
  <c r="L277" i="32" s="1"/>
  <c r="K278" i="32"/>
  <c r="L278" i="32" s="1"/>
  <c r="K279" i="32"/>
  <c r="L279" i="32" s="1"/>
  <c r="K280" i="32"/>
  <c r="L280" i="32" s="1"/>
  <c r="K281" i="32"/>
  <c r="L281" i="32" s="1"/>
  <c r="K282" i="32"/>
  <c r="L282" i="32" s="1"/>
  <c r="K283" i="32"/>
  <c r="L283" i="32" s="1"/>
  <c r="K284" i="32"/>
  <c r="L284" i="32" s="1"/>
  <c r="K285" i="32"/>
  <c r="L285" i="32" s="1"/>
  <c r="K286" i="32"/>
  <c r="L286" i="32" s="1"/>
  <c r="K287" i="32"/>
  <c r="L287" i="32" s="1"/>
  <c r="K288" i="32"/>
  <c r="L288" i="32" s="1"/>
  <c r="K289" i="32"/>
  <c r="L289" i="32" s="1"/>
  <c r="K290" i="32"/>
  <c r="L290" i="32" s="1"/>
  <c r="K291" i="32"/>
  <c r="L291" i="32" s="1"/>
  <c r="K292" i="32"/>
  <c r="L292" i="32" s="1"/>
  <c r="K293" i="32"/>
  <c r="L293" i="32" s="1"/>
  <c r="K294" i="32"/>
  <c r="L294" i="32" s="1"/>
  <c r="K295" i="32"/>
  <c r="L295" i="32" s="1"/>
  <c r="K296" i="32"/>
  <c r="L296" i="32" s="1"/>
  <c r="K297" i="32"/>
  <c r="L297" i="32" s="1"/>
  <c r="K298" i="32"/>
  <c r="L298" i="32" s="1"/>
  <c r="K299" i="32"/>
  <c r="L299" i="32" s="1"/>
  <c r="K300" i="32"/>
  <c r="L300" i="32" s="1"/>
  <c r="K301" i="32"/>
  <c r="L301" i="32" s="1"/>
  <c r="K302" i="32"/>
  <c r="L302" i="32" s="1"/>
  <c r="K303" i="32"/>
  <c r="L303" i="32" s="1"/>
  <c r="K304" i="32"/>
  <c r="L304" i="32" s="1"/>
  <c r="K305" i="32"/>
  <c r="L305" i="32" s="1"/>
  <c r="K306" i="32"/>
  <c r="L306" i="32" s="1"/>
  <c r="K307" i="32"/>
  <c r="L307" i="32" s="1"/>
  <c r="K308" i="32"/>
  <c r="L308" i="32" s="1"/>
  <c r="K309" i="32"/>
  <c r="L309" i="32" s="1"/>
  <c r="K310" i="32"/>
  <c r="L310" i="32" s="1"/>
  <c r="K311" i="32"/>
  <c r="L311" i="32" s="1"/>
  <c r="K312" i="32"/>
  <c r="L312" i="32" s="1"/>
  <c r="K313" i="32"/>
  <c r="L313" i="32" s="1"/>
  <c r="K314" i="32"/>
  <c r="L314" i="32" s="1"/>
  <c r="K315" i="32"/>
  <c r="L315" i="32" s="1"/>
  <c r="K316" i="32"/>
  <c r="L316" i="32" s="1"/>
  <c r="K317" i="32"/>
  <c r="L317" i="32" s="1"/>
  <c r="K318" i="32"/>
  <c r="L318" i="32" s="1"/>
  <c r="K319" i="32"/>
  <c r="L319" i="32" s="1"/>
  <c r="K320" i="32"/>
  <c r="L320" i="32" s="1"/>
  <c r="K321" i="32"/>
  <c r="L321" i="32" s="1"/>
  <c r="K322" i="32"/>
  <c r="L322" i="32" s="1"/>
  <c r="K323" i="32"/>
  <c r="L323" i="32" s="1"/>
  <c r="K324" i="32"/>
  <c r="L324" i="32" s="1"/>
  <c r="K325" i="32"/>
  <c r="L325" i="32" s="1"/>
  <c r="K326" i="32"/>
  <c r="L326" i="32" s="1"/>
  <c r="K327" i="32"/>
  <c r="L327" i="32" s="1"/>
  <c r="K328" i="32"/>
  <c r="L328" i="32" s="1"/>
  <c r="K329" i="32"/>
  <c r="L329" i="32" s="1"/>
  <c r="K330" i="32"/>
  <c r="L330" i="32" s="1"/>
  <c r="K331" i="32"/>
  <c r="L331" i="32" s="1"/>
  <c r="K332" i="32"/>
  <c r="L332" i="32" s="1"/>
  <c r="K333" i="32"/>
  <c r="L333" i="32" s="1"/>
  <c r="K334" i="32"/>
  <c r="L334" i="32" s="1"/>
  <c r="K335" i="32"/>
  <c r="L335" i="32" s="1"/>
  <c r="K336" i="32"/>
  <c r="L336" i="32" s="1"/>
  <c r="K337" i="32"/>
  <c r="L337" i="32" s="1"/>
  <c r="K338" i="32"/>
  <c r="L338" i="32" s="1"/>
  <c r="K339" i="32"/>
  <c r="L339" i="32" s="1"/>
  <c r="K340" i="32"/>
  <c r="L340" i="32" s="1"/>
  <c r="K341" i="32"/>
  <c r="L341" i="32" s="1"/>
  <c r="K342" i="32"/>
  <c r="L342" i="32" s="1"/>
  <c r="K343" i="32"/>
  <c r="L343" i="32" s="1"/>
  <c r="K344" i="32"/>
  <c r="L344" i="32" s="1"/>
  <c r="K345" i="32"/>
  <c r="L345" i="32" s="1"/>
  <c r="K346" i="32"/>
  <c r="L346" i="32" s="1"/>
  <c r="K347" i="32"/>
  <c r="L347" i="32" s="1"/>
  <c r="K348" i="32"/>
  <c r="L348" i="32" s="1"/>
  <c r="K349" i="32"/>
  <c r="L349" i="32" s="1"/>
  <c r="K350" i="32"/>
  <c r="L350" i="32" s="1"/>
  <c r="K351" i="32"/>
  <c r="L351" i="32" s="1"/>
  <c r="K352" i="32"/>
  <c r="L352" i="32" s="1"/>
  <c r="K353" i="32"/>
  <c r="L353" i="32" s="1"/>
  <c r="K354" i="32"/>
  <c r="L354" i="32" s="1"/>
  <c r="K355" i="32"/>
  <c r="L355" i="32" s="1"/>
  <c r="K356" i="32"/>
  <c r="L356" i="32" s="1"/>
  <c r="K357" i="32"/>
  <c r="L357" i="32" s="1"/>
  <c r="K358" i="32"/>
  <c r="L358" i="32" s="1"/>
  <c r="K359" i="32"/>
  <c r="L359" i="32" s="1"/>
  <c r="K360" i="32"/>
  <c r="L360" i="32" s="1"/>
  <c r="K361" i="32"/>
  <c r="L361" i="32" s="1"/>
  <c r="K362" i="32"/>
  <c r="L362" i="32" s="1"/>
  <c r="K363" i="32"/>
  <c r="L363" i="32" s="1"/>
  <c r="K364" i="32"/>
  <c r="L364" i="32" s="1"/>
  <c r="K365" i="32"/>
  <c r="L365" i="32" s="1"/>
  <c r="K366" i="32"/>
  <c r="L366" i="32" s="1"/>
  <c r="K367" i="32"/>
  <c r="L367" i="32" s="1"/>
  <c r="K368" i="32"/>
  <c r="L368" i="32" s="1"/>
  <c r="K369" i="32"/>
  <c r="L369" i="32" s="1"/>
  <c r="K370" i="32"/>
  <c r="L370" i="32" s="1"/>
  <c r="K371" i="32"/>
  <c r="L371" i="32" s="1"/>
  <c r="K372" i="32"/>
  <c r="L372" i="32" s="1"/>
  <c r="K373" i="32"/>
  <c r="L373" i="32" s="1"/>
  <c r="K374" i="32"/>
  <c r="L374" i="32" s="1"/>
  <c r="K375" i="32"/>
  <c r="L375" i="32" s="1"/>
  <c r="K376" i="32"/>
  <c r="L376" i="32" s="1"/>
  <c r="K377" i="32"/>
  <c r="L377" i="32" s="1"/>
  <c r="K378" i="32"/>
  <c r="L378" i="32" s="1"/>
  <c r="K379" i="32"/>
  <c r="L379" i="32" s="1"/>
  <c r="K380" i="32"/>
  <c r="L380" i="32" s="1"/>
  <c r="K381" i="32"/>
  <c r="L381" i="32" s="1"/>
  <c r="K382" i="32"/>
  <c r="L382" i="32" s="1"/>
  <c r="K383" i="32"/>
  <c r="L383" i="32" s="1"/>
  <c r="K384" i="32"/>
  <c r="L384" i="32" s="1"/>
  <c r="K385" i="32"/>
  <c r="L385" i="32" s="1"/>
  <c r="K386" i="32"/>
  <c r="L386" i="32" s="1"/>
  <c r="K387" i="32"/>
  <c r="L387" i="32" s="1"/>
  <c r="K388" i="32"/>
  <c r="L388" i="32" s="1"/>
  <c r="K389" i="32"/>
  <c r="L389" i="32" s="1"/>
  <c r="K390" i="32"/>
  <c r="L390" i="32" s="1"/>
  <c r="K391" i="32"/>
  <c r="L391" i="32" s="1"/>
  <c r="K392" i="32"/>
  <c r="L392" i="32" s="1"/>
  <c r="K393" i="32"/>
  <c r="L393" i="32" s="1"/>
  <c r="K394" i="32"/>
  <c r="L394" i="32" s="1"/>
  <c r="K395" i="32"/>
  <c r="L395" i="32" s="1"/>
  <c r="K396" i="32"/>
  <c r="L396" i="32" s="1"/>
  <c r="K397" i="32"/>
  <c r="L397" i="32" s="1"/>
  <c r="K398" i="32"/>
  <c r="L398" i="32" s="1"/>
  <c r="K399" i="32"/>
  <c r="L399" i="32" s="1"/>
  <c r="K400" i="32"/>
  <c r="L400" i="32" s="1"/>
  <c r="K401" i="32"/>
  <c r="L401" i="32" s="1"/>
  <c r="K402" i="32"/>
  <c r="L402" i="32" s="1"/>
  <c r="K403" i="32"/>
  <c r="L403" i="32" s="1"/>
  <c r="K404" i="32"/>
  <c r="L404" i="32" s="1"/>
  <c r="K405" i="32"/>
  <c r="L405" i="32" s="1"/>
  <c r="K406" i="32"/>
  <c r="L406" i="32" s="1"/>
  <c r="K407" i="32"/>
  <c r="L407" i="32" s="1"/>
  <c r="K408" i="32"/>
  <c r="L408" i="32" s="1"/>
  <c r="K409" i="32"/>
  <c r="L409" i="32" s="1"/>
  <c r="K410" i="32"/>
  <c r="L410" i="32" s="1"/>
  <c r="K411" i="32"/>
  <c r="L411" i="32" s="1"/>
  <c r="K412" i="32"/>
  <c r="L412" i="32" s="1"/>
  <c r="K413" i="32"/>
  <c r="L413" i="32" s="1"/>
  <c r="K414" i="32"/>
  <c r="L414" i="32" s="1"/>
  <c r="K415" i="32"/>
  <c r="L415" i="32" s="1"/>
  <c r="K416" i="32"/>
  <c r="L416" i="32" s="1"/>
  <c r="K417" i="32"/>
  <c r="L417" i="32" s="1"/>
  <c r="K418" i="32"/>
  <c r="L418" i="32" s="1"/>
  <c r="K419" i="32"/>
  <c r="L419" i="32" s="1"/>
  <c r="K420" i="32"/>
  <c r="L420" i="32" s="1"/>
  <c r="K421" i="32"/>
  <c r="L421" i="32" s="1"/>
  <c r="K422" i="32"/>
  <c r="L422" i="32" s="1"/>
  <c r="K423" i="32"/>
  <c r="L423" i="32" s="1"/>
  <c r="K424" i="32"/>
  <c r="L424" i="32" s="1"/>
  <c r="K425" i="32"/>
  <c r="L425" i="32" s="1"/>
  <c r="K426" i="32"/>
  <c r="L426" i="32" s="1"/>
  <c r="K427" i="32"/>
  <c r="L427" i="32" s="1"/>
  <c r="K428" i="32"/>
  <c r="L428" i="32" s="1"/>
  <c r="K429" i="32"/>
  <c r="L429" i="32" s="1"/>
  <c r="K430" i="32"/>
  <c r="L430" i="32" s="1"/>
  <c r="K431" i="32"/>
  <c r="L431" i="32" s="1"/>
  <c r="K432" i="32"/>
  <c r="L432" i="32" s="1"/>
  <c r="K433" i="32"/>
  <c r="L433" i="32" s="1"/>
  <c r="K434" i="32"/>
  <c r="L434" i="32" s="1"/>
  <c r="K435" i="32"/>
  <c r="L435" i="32" s="1"/>
  <c r="K436" i="32"/>
  <c r="L436" i="32" s="1"/>
  <c r="K437" i="32"/>
  <c r="L437" i="32" s="1"/>
  <c r="K438" i="32"/>
  <c r="L438" i="32" s="1"/>
  <c r="K439" i="32"/>
  <c r="L439" i="32" s="1"/>
  <c r="K440" i="32"/>
  <c r="L440" i="32" s="1"/>
  <c r="K441" i="32"/>
  <c r="L441" i="32" s="1"/>
  <c r="K442" i="32"/>
  <c r="L442" i="32" s="1"/>
  <c r="K443" i="32"/>
  <c r="L443" i="32" s="1"/>
  <c r="K444" i="32"/>
  <c r="L444" i="32" s="1"/>
  <c r="K445" i="32"/>
  <c r="L445" i="32" s="1"/>
  <c r="K446" i="32"/>
  <c r="L446" i="32" s="1"/>
  <c r="K447" i="32"/>
  <c r="L447" i="32" s="1"/>
  <c r="K448" i="32"/>
  <c r="L448" i="32" s="1"/>
  <c r="K449" i="32"/>
  <c r="L449" i="32" s="1"/>
  <c r="K450" i="32"/>
  <c r="L450" i="32" s="1"/>
  <c r="K451" i="32"/>
  <c r="L451" i="32" s="1"/>
  <c r="K452" i="32"/>
  <c r="L452" i="32" s="1"/>
  <c r="K453" i="32"/>
  <c r="L453" i="32" s="1"/>
  <c r="K454" i="32"/>
  <c r="L454" i="32" s="1"/>
  <c r="K455" i="32"/>
  <c r="L455" i="32" s="1"/>
  <c r="K456" i="32"/>
  <c r="L456" i="32" s="1"/>
  <c r="K457" i="32"/>
  <c r="L457" i="32" s="1"/>
  <c r="K458" i="32"/>
  <c r="L458" i="32" s="1"/>
  <c r="K459" i="32"/>
  <c r="L459" i="32" s="1"/>
  <c r="K460" i="32"/>
  <c r="L460" i="32" s="1"/>
  <c r="K461" i="32"/>
  <c r="L461" i="32" s="1"/>
  <c r="K462" i="32"/>
  <c r="L462" i="32" s="1"/>
  <c r="K463" i="32"/>
  <c r="L463" i="32" s="1"/>
  <c r="K464" i="32"/>
  <c r="L464" i="32" s="1"/>
  <c r="K465" i="32"/>
  <c r="L465" i="32" s="1"/>
  <c r="K466" i="32"/>
  <c r="L466" i="32" s="1"/>
  <c r="K467" i="32"/>
  <c r="L467" i="32" s="1"/>
  <c r="K468" i="32"/>
  <c r="L468" i="32" s="1"/>
  <c r="K469" i="32"/>
  <c r="L469" i="32" s="1"/>
  <c r="K470" i="32"/>
  <c r="L470" i="32" s="1"/>
  <c r="K471" i="32"/>
  <c r="L471" i="32" s="1"/>
  <c r="K472" i="32"/>
  <c r="L472" i="32" s="1"/>
  <c r="K473" i="32"/>
  <c r="L473" i="32" s="1"/>
  <c r="K474" i="32"/>
  <c r="L474" i="32" s="1"/>
  <c r="K475" i="32"/>
  <c r="L475" i="32" s="1"/>
  <c r="K476" i="32"/>
  <c r="L476" i="32" s="1"/>
  <c r="K477" i="32"/>
  <c r="L477" i="32" s="1"/>
  <c r="K478" i="32"/>
  <c r="L478" i="32" s="1"/>
  <c r="K479" i="32"/>
  <c r="L479" i="32" s="1"/>
  <c r="K480" i="32"/>
  <c r="L480" i="32" s="1"/>
  <c r="K481" i="32"/>
  <c r="L481" i="32" s="1"/>
  <c r="K482" i="32"/>
  <c r="L482" i="32" s="1"/>
  <c r="K483" i="32"/>
  <c r="L483" i="32" s="1"/>
  <c r="K484" i="32"/>
  <c r="L484" i="32" s="1"/>
  <c r="K485" i="32"/>
  <c r="L485" i="32" s="1"/>
  <c r="K486" i="32"/>
  <c r="L486" i="32" s="1"/>
  <c r="K487" i="32"/>
  <c r="L487" i="32" s="1"/>
  <c r="K488" i="32"/>
  <c r="L488" i="32" s="1"/>
  <c r="K489" i="32"/>
  <c r="L489" i="32" s="1"/>
  <c r="K490" i="32"/>
  <c r="L490" i="32" s="1"/>
  <c r="K491" i="32"/>
  <c r="L491" i="32" s="1"/>
  <c r="K492" i="32"/>
  <c r="L492" i="32" s="1"/>
  <c r="K493" i="32"/>
  <c r="L493" i="32" s="1"/>
  <c r="K494" i="32"/>
  <c r="L494" i="32" s="1"/>
  <c r="K495" i="32"/>
  <c r="L495" i="32" s="1"/>
  <c r="K496" i="32"/>
  <c r="L496" i="32" s="1"/>
  <c r="K497" i="32"/>
  <c r="L497" i="32" s="1"/>
  <c r="K498" i="32"/>
  <c r="L498" i="32" s="1"/>
  <c r="K499" i="32"/>
  <c r="L499" i="32" s="1"/>
  <c r="K500" i="32"/>
  <c r="L500" i="32" s="1"/>
  <c r="K501" i="32"/>
  <c r="L501" i="32" s="1"/>
  <c r="K502" i="32"/>
  <c r="L502" i="32" s="1"/>
  <c r="K503" i="32"/>
  <c r="L503" i="32" s="1"/>
  <c r="K504" i="32"/>
  <c r="L504" i="32" s="1"/>
  <c r="K505" i="32"/>
  <c r="L505" i="32" s="1"/>
  <c r="K506" i="32"/>
  <c r="L506" i="32" s="1"/>
  <c r="K507" i="32"/>
  <c r="L507" i="32" s="1"/>
  <c r="K508" i="32"/>
  <c r="L508" i="32" s="1"/>
  <c r="K509" i="32"/>
  <c r="L509" i="32" s="1"/>
  <c r="K510" i="32"/>
  <c r="L510" i="32" s="1"/>
  <c r="K511" i="32"/>
  <c r="L511" i="32" s="1"/>
  <c r="K512" i="32"/>
  <c r="L512" i="32" s="1"/>
  <c r="K513" i="32"/>
  <c r="L513" i="32" s="1"/>
  <c r="K514" i="32"/>
  <c r="L514" i="32" s="1"/>
  <c r="K515" i="32"/>
  <c r="L515" i="32" s="1"/>
  <c r="K516" i="32"/>
  <c r="L516" i="32" s="1"/>
  <c r="K517" i="32"/>
  <c r="L517" i="32" s="1"/>
  <c r="K518" i="32"/>
  <c r="L518" i="32" s="1"/>
  <c r="K519" i="32"/>
  <c r="L519" i="32" s="1"/>
  <c r="K520" i="32"/>
  <c r="L520" i="32" s="1"/>
  <c r="K521" i="32"/>
  <c r="L521" i="32" s="1"/>
  <c r="K522" i="32"/>
  <c r="L522" i="32" s="1"/>
  <c r="K523" i="32"/>
  <c r="L523" i="32" s="1"/>
  <c r="K524" i="32"/>
  <c r="L524" i="32" s="1"/>
  <c r="K525" i="32"/>
  <c r="L525" i="32" s="1"/>
  <c r="K526" i="32"/>
  <c r="L526" i="32" s="1"/>
  <c r="K527" i="32"/>
  <c r="L527" i="32" s="1"/>
  <c r="K528" i="32"/>
  <c r="L528" i="32" s="1"/>
  <c r="K529" i="32"/>
  <c r="L529" i="32" s="1"/>
  <c r="K530" i="32"/>
  <c r="L530" i="32" s="1"/>
  <c r="K531" i="32"/>
  <c r="L531" i="32" s="1"/>
  <c r="K532" i="32"/>
  <c r="L532" i="32" s="1"/>
  <c r="K533" i="32"/>
  <c r="L533" i="32" s="1"/>
  <c r="K534" i="32"/>
  <c r="L534" i="32" s="1"/>
  <c r="K535" i="32"/>
  <c r="L535" i="32" s="1"/>
  <c r="K536" i="32"/>
  <c r="L536" i="32" s="1"/>
  <c r="K537" i="32"/>
  <c r="L537" i="32" s="1"/>
  <c r="K538" i="32"/>
  <c r="L538" i="32" s="1"/>
  <c r="K539" i="32"/>
  <c r="L539" i="32" s="1"/>
  <c r="K540" i="32"/>
  <c r="L540" i="32" s="1"/>
  <c r="K541" i="32"/>
  <c r="L541" i="32" s="1"/>
  <c r="K542" i="32"/>
  <c r="L542" i="32" s="1"/>
  <c r="K543" i="32"/>
  <c r="L543" i="32" s="1"/>
  <c r="K544" i="32"/>
  <c r="L544" i="32" s="1"/>
  <c r="K545" i="32"/>
  <c r="L545" i="32" s="1"/>
  <c r="K546" i="32"/>
  <c r="L546" i="32" s="1"/>
  <c r="K547" i="32"/>
  <c r="L547" i="32" s="1"/>
  <c r="K548" i="32"/>
  <c r="L548" i="32" s="1"/>
  <c r="K549" i="32"/>
  <c r="L549" i="32" s="1"/>
  <c r="K550" i="32"/>
  <c r="L550" i="32" s="1"/>
  <c r="K551" i="32"/>
  <c r="L551" i="32" s="1"/>
  <c r="K552" i="32"/>
  <c r="L552" i="32" s="1"/>
  <c r="K553" i="32"/>
  <c r="L553" i="32" s="1"/>
  <c r="K554" i="32"/>
  <c r="L554" i="32" s="1"/>
  <c r="K555" i="32"/>
  <c r="L555" i="32" s="1"/>
  <c r="K556" i="32"/>
  <c r="L556" i="32" s="1"/>
  <c r="K557" i="32"/>
  <c r="L557" i="32" s="1"/>
  <c r="K558" i="32"/>
  <c r="L558" i="32" s="1"/>
  <c r="K559" i="32"/>
  <c r="L559" i="32" s="1"/>
  <c r="K560" i="32"/>
  <c r="L560" i="32" s="1"/>
  <c r="K561" i="32"/>
  <c r="L561" i="32" s="1"/>
  <c r="K562" i="32"/>
  <c r="L562" i="32" s="1"/>
  <c r="K563" i="32"/>
  <c r="L563" i="32" s="1"/>
  <c r="K564" i="32"/>
  <c r="L564" i="32" s="1"/>
  <c r="K565" i="32"/>
  <c r="L565" i="32" s="1"/>
  <c r="K566" i="32"/>
  <c r="L566" i="32" s="1"/>
  <c r="K567" i="32"/>
  <c r="L567" i="32" s="1"/>
  <c r="K568" i="32"/>
  <c r="L568" i="32" s="1"/>
  <c r="K569" i="32"/>
  <c r="L569" i="32" s="1"/>
  <c r="K570" i="32"/>
  <c r="L570" i="32" s="1"/>
  <c r="K571" i="32"/>
  <c r="L571" i="32" s="1"/>
  <c r="K572" i="32"/>
  <c r="L572" i="32" s="1"/>
  <c r="K573" i="32"/>
  <c r="L573" i="32" s="1"/>
  <c r="K574" i="32"/>
  <c r="L574" i="32" s="1"/>
  <c r="K575" i="32"/>
  <c r="L575" i="32" s="1"/>
  <c r="K576" i="32"/>
  <c r="L576" i="32" s="1"/>
  <c r="K577" i="32"/>
  <c r="L577" i="32" s="1"/>
  <c r="K578" i="32"/>
  <c r="L578" i="32" s="1"/>
  <c r="K579" i="32"/>
  <c r="L579" i="32" s="1"/>
  <c r="K580" i="32"/>
  <c r="L580" i="32" s="1"/>
  <c r="K581" i="32"/>
  <c r="L581" i="32" s="1"/>
  <c r="K582" i="32"/>
  <c r="L582" i="32" s="1"/>
  <c r="K583" i="32"/>
  <c r="L583" i="32" s="1"/>
  <c r="K584" i="32"/>
  <c r="L584" i="32" s="1"/>
  <c r="K585" i="32"/>
  <c r="L585" i="32" s="1"/>
  <c r="K586" i="32"/>
  <c r="L586" i="32" s="1"/>
  <c r="K587" i="32"/>
  <c r="L587" i="32" s="1"/>
  <c r="K588" i="32"/>
  <c r="L588" i="32" s="1"/>
  <c r="K589" i="32"/>
  <c r="L589" i="32" s="1"/>
  <c r="K590" i="32"/>
  <c r="L590" i="32" s="1"/>
  <c r="K591" i="32"/>
  <c r="L591" i="32" s="1"/>
  <c r="K592" i="32"/>
  <c r="L592" i="32" s="1"/>
  <c r="K593" i="32"/>
  <c r="L593" i="32" s="1"/>
  <c r="K594" i="32"/>
  <c r="L594" i="32" s="1"/>
  <c r="K595" i="32"/>
  <c r="L595" i="32" s="1"/>
  <c r="K596" i="32"/>
  <c r="L596" i="32" s="1"/>
  <c r="K597" i="32"/>
  <c r="L597" i="32" s="1"/>
  <c r="K598" i="32"/>
  <c r="L598" i="32" s="1"/>
  <c r="K599" i="32"/>
  <c r="L599" i="32" s="1"/>
  <c r="K600" i="32"/>
  <c r="L600" i="32" s="1"/>
  <c r="K601" i="32"/>
  <c r="L601" i="32" s="1"/>
  <c r="K602" i="32"/>
  <c r="L602" i="32" s="1"/>
  <c r="K603" i="32"/>
  <c r="L603" i="32" s="1"/>
  <c r="K604" i="32"/>
  <c r="L604" i="32" s="1"/>
  <c r="K605" i="32"/>
  <c r="L605" i="32" s="1"/>
  <c r="K606" i="32"/>
  <c r="L606" i="32" s="1"/>
  <c r="K607" i="32"/>
  <c r="L607" i="32" s="1"/>
  <c r="K608" i="32"/>
  <c r="L608" i="32" s="1"/>
  <c r="K609" i="32"/>
  <c r="L609" i="32" s="1"/>
  <c r="K610" i="32"/>
  <c r="L610" i="32" s="1"/>
  <c r="K611" i="32"/>
  <c r="L611" i="32" s="1"/>
  <c r="K612" i="32"/>
  <c r="L612" i="32" s="1"/>
  <c r="K613" i="32"/>
  <c r="L613" i="32" s="1"/>
  <c r="K614" i="32"/>
  <c r="L614" i="32" s="1"/>
  <c r="K615" i="32"/>
  <c r="L615" i="32" s="1"/>
  <c r="K616" i="32"/>
  <c r="L616" i="32" s="1"/>
  <c r="K10" i="32"/>
  <c r="L10" i="32" s="1"/>
  <c r="K11" i="32"/>
  <c r="L11" i="32" s="1"/>
  <c r="K12" i="32"/>
  <c r="L12" i="32" s="1"/>
  <c r="K13" i="32"/>
  <c r="L13" i="32" s="1"/>
  <c r="K14" i="32"/>
  <c r="L14" i="32" s="1"/>
  <c r="K15" i="32"/>
  <c r="L15" i="32" s="1"/>
  <c r="K16" i="32"/>
  <c r="L16" i="32" s="1"/>
  <c r="K9" i="32" l="1"/>
  <c r="L9" i="32" s="1"/>
  <c r="K8" i="32"/>
  <c r="L8" i="32" s="1"/>
  <c r="K7" i="32"/>
  <c r="L7" i="32" s="1"/>
  <c r="K6" i="32"/>
  <c r="L6" i="32" s="1"/>
  <c r="K5" i="32"/>
  <c r="L5" i="32" s="1"/>
  <c r="J245" i="31" l="1"/>
  <c r="K245" i="31" s="1"/>
  <c r="J5" i="31" l="1"/>
  <c r="J135" i="31" l="1"/>
  <c r="K135" i="31" s="1"/>
  <c r="J134" i="31"/>
  <c r="K134" i="31" s="1"/>
  <c r="J133" i="31"/>
  <c r="K133" i="31" s="1"/>
  <c r="J132" i="31"/>
  <c r="K132" i="31" s="1"/>
  <c r="J131" i="31"/>
  <c r="K131" i="31" s="1"/>
  <c r="J130" i="31"/>
  <c r="K130" i="31" s="1"/>
  <c r="J129" i="31"/>
  <c r="K129" i="31" s="1"/>
  <c r="J128" i="31"/>
  <c r="K128" i="31" s="1"/>
  <c r="J127" i="31"/>
  <c r="K127" i="31" s="1"/>
  <c r="J126" i="31"/>
  <c r="K126" i="31" s="1"/>
  <c r="J125" i="31"/>
  <c r="K125" i="31" s="1"/>
  <c r="J124" i="31"/>
  <c r="K124" i="31" s="1"/>
  <c r="J123" i="31"/>
  <c r="K123" i="31" s="1"/>
  <c r="J122" i="31"/>
  <c r="K122" i="31" s="1"/>
  <c r="J121" i="31"/>
  <c r="K121" i="31" s="1"/>
  <c r="J120" i="31"/>
  <c r="K120" i="31" s="1"/>
  <c r="J119" i="31"/>
  <c r="K119" i="31" s="1"/>
  <c r="J118" i="31"/>
  <c r="K118" i="31" s="1"/>
  <c r="J117" i="31"/>
  <c r="K117" i="31" s="1"/>
  <c r="J116" i="31"/>
  <c r="K116" i="31" s="1"/>
  <c r="J115" i="31"/>
  <c r="K115" i="31" s="1"/>
  <c r="J114" i="31"/>
  <c r="K114" i="31" s="1"/>
  <c r="J113" i="31"/>
  <c r="K113" i="31" s="1"/>
  <c r="J112" i="31"/>
  <c r="K112" i="31" s="1"/>
  <c r="J111" i="31"/>
  <c r="K111" i="31" s="1"/>
  <c r="J110" i="31"/>
  <c r="K110" i="31" s="1"/>
  <c r="J109" i="31"/>
  <c r="K109" i="31" s="1"/>
  <c r="J108" i="31"/>
  <c r="K108" i="31" s="1"/>
  <c r="J107" i="31"/>
  <c r="K107" i="31" s="1"/>
  <c r="J106" i="31"/>
  <c r="K106" i="31" s="1"/>
  <c r="J105" i="31"/>
  <c r="K105" i="31" s="1"/>
  <c r="J104" i="31"/>
  <c r="K104" i="31" s="1"/>
  <c r="J103" i="31"/>
  <c r="K103" i="31" s="1"/>
  <c r="J102" i="31"/>
  <c r="K102" i="31" s="1"/>
  <c r="J101" i="31"/>
  <c r="K101" i="31" s="1"/>
  <c r="J100" i="31"/>
  <c r="K100" i="31" s="1"/>
  <c r="J99" i="31"/>
  <c r="K99" i="31" s="1"/>
  <c r="J98" i="31"/>
  <c r="K98" i="31" s="1"/>
  <c r="J97" i="31"/>
  <c r="K97" i="31" s="1"/>
  <c r="J96" i="31"/>
  <c r="K96" i="31" s="1"/>
  <c r="J95" i="31"/>
  <c r="K95" i="31" s="1"/>
  <c r="J94" i="31"/>
  <c r="K94" i="31" s="1"/>
  <c r="J93" i="31"/>
  <c r="K93" i="31" s="1"/>
  <c r="J92" i="31"/>
  <c r="K92" i="31" s="1"/>
  <c r="J91" i="31"/>
  <c r="K91" i="31" s="1"/>
  <c r="J90" i="31"/>
  <c r="K90" i="31" s="1"/>
  <c r="J89" i="31"/>
  <c r="K89" i="31" s="1"/>
  <c r="J88" i="31"/>
  <c r="K88" i="31" s="1"/>
  <c r="J87" i="31"/>
  <c r="K87" i="31" s="1"/>
  <c r="J86" i="31"/>
  <c r="K86" i="31" s="1"/>
  <c r="J85" i="31"/>
  <c r="K85" i="31" s="1"/>
  <c r="J84" i="31"/>
  <c r="K84" i="31" s="1"/>
  <c r="J83" i="31"/>
  <c r="K83" i="31" s="1"/>
  <c r="J82" i="31"/>
  <c r="K82" i="31" s="1"/>
  <c r="J81" i="31"/>
  <c r="K81" i="31" s="1"/>
  <c r="J80" i="31"/>
  <c r="K80" i="31" s="1"/>
  <c r="J79" i="31"/>
  <c r="K79" i="31" s="1"/>
  <c r="J78" i="31"/>
  <c r="K78" i="31" s="1"/>
  <c r="J77" i="31"/>
  <c r="K77" i="31" s="1"/>
  <c r="J76" i="31"/>
  <c r="K76" i="31" s="1"/>
  <c r="J75" i="31"/>
  <c r="K75" i="31" s="1"/>
  <c r="J74" i="31"/>
  <c r="K74" i="31" s="1"/>
  <c r="J73" i="31"/>
  <c r="K73" i="31" s="1"/>
  <c r="J72" i="31"/>
  <c r="K72" i="31" s="1"/>
  <c r="J71" i="31"/>
  <c r="K71" i="31" s="1"/>
  <c r="J70" i="31"/>
  <c r="K70" i="31" s="1"/>
  <c r="J69" i="31"/>
  <c r="K69" i="31" s="1"/>
  <c r="J68" i="31"/>
  <c r="K68" i="31" s="1"/>
  <c r="J67" i="31"/>
  <c r="K67" i="31" s="1"/>
  <c r="J66" i="31"/>
  <c r="K66" i="31" s="1"/>
  <c r="J65" i="31"/>
  <c r="K65" i="31" s="1"/>
  <c r="J64" i="31"/>
  <c r="K64" i="31" s="1"/>
  <c r="J63" i="31"/>
  <c r="K63" i="31" s="1"/>
  <c r="J62" i="31"/>
  <c r="K62" i="31" s="1"/>
  <c r="J61" i="31"/>
  <c r="K61" i="31" s="1"/>
  <c r="J60" i="31"/>
  <c r="K60" i="31" s="1"/>
  <c r="J59" i="31"/>
  <c r="K59" i="31" s="1"/>
  <c r="J58" i="31"/>
  <c r="K58" i="31" s="1"/>
  <c r="J57" i="31"/>
  <c r="K57" i="31" s="1"/>
  <c r="J56" i="31"/>
  <c r="K56" i="31" s="1"/>
  <c r="J55" i="31"/>
  <c r="K55" i="31" s="1"/>
  <c r="J54" i="31"/>
  <c r="K54" i="31" s="1"/>
  <c r="J53" i="31"/>
  <c r="K53" i="31" s="1"/>
  <c r="J52" i="31"/>
  <c r="K52" i="31" s="1"/>
  <c r="J51" i="31"/>
  <c r="K51" i="31" s="1"/>
  <c r="J50" i="31"/>
  <c r="K50" i="31" s="1"/>
  <c r="J49" i="31"/>
  <c r="K49" i="31" s="1"/>
  <c r="J48" i="31"/>
  <c r="K48" i="31" s="1"/>
  <c r="J47" i="31"/>
  <c r="K47" i="31" s="1"/>
  <c r="J46" i="31"/>
  <c r="K46" i="31" s="1"/>
  <c r="J45" i="31"/>
  <c r="K45" i="31" s="1"/>
  <c r="J44" i="31"/>
  <c r="K44" i="31" s="1"/>
  <c r="J43" i="31"/>
  <c r="K43" i="31" s="1"/>
  <c r="J42" i="31"/>
  <c r="K42" i="31" s="1"/>
  <c r="J41" i="31"/>
  <c r="K41" i="31" s="1"/>
  <c r="J40" i="31"/>
  <c r="K40" i="31" s="1"/>
  <c r="J39" i="31"/>
  <c r="K39" i="31" s="1"/>
  <c r="J38" i="31"/>
  <c r="K38" i="31" s="1"/>
  <c r="J37" i="31"/>
  <c r="K37" i="31" s="1"/>
  <c r="J36" i="31"/>
  <c r="K36" i="31" s="1"/>
  <c r="J35" i="31"/>
  <c r="K35" i="31" s="1"/>
  <c r="J34" i="31"/>
  <c r="K34" i="31" s="1"/>
  <c r="J33" i="31"/>
  <c r="K33" i="31" s="1"/>
  <c r="J32" i="31"/>
  <c r="K32" i="31" s="1"/>
  <c r="J31" i="31"/>
  <c r="K31" i="31" s="1"/>
  <c r="J30" i="31"/>
  <c r="K30" i="31" s="1"/>
  <c r="J29" i="31"/>
  <c r="K29" i="31" s="1"/>
  <c r="J28" i="31"/>
  <c r="K28" i="31" s="1"/>
  <c r="J27" i="31"/>
  <c r="K27" i="31" s="1"/>
  <c r="J26" i="31"/>
  <c r="K26" i="31" s="1"/>
  <c r="J25" i="31"/>
  <c r="K25" i="31" s="1"/>
  <c r="J24" i="31"/>
  <c r="K24" i="31" s="1"/>
  <c r="J23" i="31"/>
  <c r="K23" i="31" s="1"/>
  <c r="J22" i="31"/>
  <c r="K22" i="31" s="1"/>
  <c r="J21" i="31"/>
  <c r="K21" i="31" s="1"/>
  <c r="J20" i="31"/>
  <c r="K20" i="31" s="1"/>
  <c r="J19" i="31"/>
  <c r="K19" i="31" s="1"/>
  <c r="J18" i="31"/>
  <c r="K18" i="31" s="1"/>
  <c r="J17" i="31"/>
  <c r="K17" i="31" s="1"/>
  <c r="J16" i="31"/>
  <c r="K16" i="31" s="1"/>
  <c r="J15" i="31"/>
  <c r="K15" i="31" s="1"/>
  <c r="J14" i="31"/>
  <c r="K14" i="31" s="1"/>
  <c r="J13" i="31"/>
  <c r="K13" i="31" s="1"/>
  <c r="J12" i="31"/>
  <c r="K12" i="31" s="1"/>
  <c r="J11" i="31"/>
  <c r="K11" i="31" s="1"/>
  <c r="J10" i="31"/>
  <c r="K10" i="31" s="1"/>
  <c r="J9" i="31"/>
  <c r="K9" i="31" s="1"/>
  <c r="J8" i="31"/>
  <c r="K8" i="31" s="1"/>
  <c r="J7" i="31"/>
  <c r="K7" i="31" s="1"/>
  <c r="J6" i="31"/>
  <c r="K6" i="31" s="1"/>
  <c r="K5" i="31"/>
  <c r="J520" i="31" l="1"/>
  <c r="K520" i="31" s="1"/>
  <c r="J519" i="31"/>
  <c r="K519" i="31" s="1"/>
  <c r="J518" i="31"/>
  <c r="K518" i="31" s="1"/>
  <c r="J517" i="31"/>
  <c r="K517" i="31" s="1"/>
  <c r="J516" i="31"/>
  <c r="K516" i="31" s="1"/>
  <c r="J515" i="31"/>
  <c r="K515" i="31" s="1"/>
  <c r="J514" i="31"/>
  <c r="K514" i="31" s="1"/>
  <c r="J513" i="31"/>
  <c r="K513" i="31" s="1"/>
  <c r="J512" i="31"/>
  <c r="K512" i="31" s="1"/>
  <c r="J511" i="31"/>
  <c r="K511" i="31" s="1"/>
  <c r="J510" i="31"/>
  <c r="K510" i="31" s="1"/>
  <c r="J509" i="31"/>
  <c r="K509" i="31" s="1"/>
  <c r="J508" i="31"/>
  <c r="K508" i="31" s="1"/>
  <c r="J507" i="31"/>
  <c r="K507" i="31" s="1"/>
  <c r="J506" i="31"/>
  <c r="K506" i="31" s="1"/>
  <c r="J505" i="31"/>
  <c r="K505" i="31" s="1"/>
  <c r="J504" i="31"/>
  <c r="K504" i="31" s="1"/>
  <c r="J503" i="31"/>
  <c r="K503" i="31" s="1"/>
  <c r="J502" i="31"/>
  <c r="K502" i="31" s="1"/>
  <c r="J501" i="31"/>
  <c r="K501" i="31" s="1"/>
  <c r="J500" i="31"/>
  <c r="K500" i="31" s="1"/>
  <c r="J499" i="31"/>
  <c r="K499" i="31" s="1"/>
  <c r="J498" i="31"/>
  <c r="K498" i="31" s="1"/>
  <c r="J497" i="31"/>
  <c r="J496" i="31"/>
  <c r="K496" i="31" s="1"/>
  <c r="J495" i="31"/>
  <c r="K495" i="31" s="1"/>
  <c r="J494" i="31"/>
  <c r="K494" i="31" s="1"/>
  <c r="J493" i="31"/>
  <c r="K493" i="31" s="1"/>
  <c r="J492" i="31"/>
  <c r="K492" i="31" s="1"/>
  <c r="J491" i="31"/>
  <c r="K491" i="31" s="1"/>
  <c r="J490" i="31"/>
  <c r="K490" i="31" s="1"/>
  <c r="J489" i="31"/>
  <c r="K489" i="31" s="1"/>
  <c r="J488" i="31"/>
  <c r="K488" i="31" s="1"/>
  <c r="J487" i="31"/>
  <c r="K487" i="31" s="1"/>
  <c r="J486" i="31"/>
  <c r="K486" i="31" s="1"/>
  <c r="J485" i="31"/>
  <c r="K485" i="31" s="1"/>
  <c r="J484" i="31"/>
  <c r="K484" i="31" s="1"/>
  <c r="J483" i="31"/>
  <c r="K483" i="31" s="1"/>
  <c r="J482" i="31"/>
  <c r="K482" i="31" s="1"/>
  <c r="J481" i="31"/>
  <c r="K481" i="31" s="1"/>
  <c r="J480" i="31"/>
  <c r="K480" i="31" s="1"/>
  <c r="J479" i="31"/>
  <c r="K479" i="31" s="1"/>
  <c r="J478" i="31"/>
  <c r="K478" i="31" s="1"/>
  <c r="J477" i="31"/>
  <c r="K477" i="31" s="1"/>
  <c r="J476" i="31"/>
  <c r="K476" i="31" s="1"/>
  <c r="J475" i="31"/>
  <c r="K475" i="31" s="1"/>
  <c r="J474" i="31"/>
  <c r="K474" i="31" s="1"/>
  <c r="J473" i="31"/>
  <c r="K473" i="31" s="1"/>
  <c r="J472" i="31"/>
  <c r="K472" i="31" s="1"/>
  <c r="J471" i="31"/>
  <c r="K471" i="31" s="1"/>
  <c r="J470" i="31"/>
  <c r="K470" i="31" s="1"/>
  <c r="J469" i="31"/>
  <c r="K469" i="31" s="1"/>
  <c r="J468" i="31"/>
  <c r="K468" i="31" s="1"/>
  <c r="J467" i="31"/>
  <c r="K467" i="31" s="1"/>
  <c r="J466" i="31"/>
  <c r="K466" i="31" s="1"/>
  <c r="J465" i="31"/>
  <c r="K465" i="31" s="1"/>
  <c r="J464" i="31"/>
  <c r="K464" i="31" s="1"/>
  <c r="J463" i="31"/>
  <c r="K463" i="31" s="1"/>
  <c r="J462" i="31"/>
  <c r="K462" i="31" s="1"/>
  <c r="J461" i="31"/>
  <c r="K461" i="31" s="1"/>
  <c r="J460" i="31"/>
  <c r="K460" i="31" s="1"/>
  <c r="J459" i="31"/>
  <c r="K459" i="31" s="1"/>
  <c r="J458" i="31"/>
  <c r="K458" i="31" s="1"/>
  <c r="J457" i="31"/>
  <c r="K457" i="31" s="1"/>
  <c r="J456" i="31"/>
  <c r="K456" i="31" s="1"/>
  <c r="J455" i="31"/>
  <c r="K455" i="31" s="1"/>
  <c r="J454" i="31"/>
  <c r="K454" i="31" s="1"/>
  <c r="J453" i="31"/>
  <c r="K453" i="31" s="1"/>
  <c r="J452" i="31"/>
  <c r="K452" i="31" s="1"/>
  <c r="J451" i="31"/>
  <c r="K451" i="31" s="1"/>
  <c r="J450" i="31"/>
  <c r="K450" i="31" s="1"/>
  <c r="J449" i="31"/>
  <c r="K449" i="31" s="1"/>
  <c r="J448" i="31"/>
  <c r="K448" i="31" s="1"/>
  <c r="J447" i="31"/>
  <c r="K447" i="31" s="1"/>
  <c r="J446" i="31"/>
  <c r="K446" i="31" s="1"/>
  <c r="J445" i="31"/>
  <c r="K445" i="31" s="1"/>
  <c r="J444" i="31"/>
  <c r="K444" i="31" s="1"/>
  <c r="J443" i="31"/>
  <c r="K443" i="31" s="1"/>
  <c r="J442" i="31"/>
  <c r="K442" i="31" s="1"/>
  <c r="J441" i="31"/>
  <c r="K441" i="31" s="1"/>
  <c r="J440" i="31"/>
  <c r="K440" i="31" s="1"/>
  <c r="J439" i="31"/>
  <c r="K439" i="31" s="1"/>
  <c r="J438" i="31"/>
  <c r="K438" i="31" s="1"/>
  <c r="J437" i="31"/>
  <c r="K437" i="31" s="1"/>
  <c r="J436" i="31"/>
  <c r="K436" i="31" s="1"/>
  <c r="J435" i="31"/>
  <c r="K435" i="31" s="1"/>
  <c r="J434" i="31"/>
  <c r="K434" i="31" s="1"/>
  <c r="J433" i="31"/>
  <c r="K433" i="31" s="1"/>
  <c r="J432" i="31"/>
  <c r="K432" i="31" s="1"/>
  <c r="J431" i="31"/>
  <c r="K431" i="31" s="1"/>
  <c r="J430" i="31"/>
  <c r="K430" i="31" s="1"/>
  <c r="J429" i="31"/>
  <c r="K429" i="31" s="1"/>
  <c r="J428" i="31"/>
  <c r="K428" i="31" s="1"/>
  <c r="J427" i="31"/>
  <c r="K427" i="31" s="1"/>
  <c r="J426" i="31"/>
  <c r="K426" i="31" s="1"/>
  <c r="J425" i="31"/>
  <c r="K425" i="31" s="1"/>
  <c r="J424" i="31"/>
  <c r="K424" i="31" s="1"/>
  <c r="J423" i="31"/>
  <c r="K423" i="31" s="1"/>
  <c r="J422" i="31"/>
  <c r="K422" i="31" s="1"/>
  <c r="J421" i="31"/>
  <c r="K421" i="31" s="1"/>
  <c r="J420" i="31"/>
  <c r="K420" i="31" s="1"/>
  <c r="J419" i="31"/>
  <c r="K419" i="31" s="1"/>
  <c r="J418" i="31"/>
  <c r="K418" i="31" s="1"/>
  <c r="J417" i="31"/>
  <c r="K417" i="31" s="1"/>
  <c r="J416" i="31"/>
  <c r="K416" i="31" s="1"/>
  <c r="J415" i="31"/>
  <c r="K415" i="31" s="1"/>
  <c r="J414" i="31"/>
  <c r="K414" i="31" s="1"/>
  <c r="J413" i="31"/>
  <c r="K413" i="31" s="1"/>
  <c r="J412" i="31"/>
  <c r="K412" i="31" s="1"/>
  <c r="J411" i="31"/>
  <c r="K411" i="31" s="1"/>
  <c r="J410" i="31"/>
  <c r="K410" i="31" s="1"/>
  <c r="J409" i="31"/>
  <c r="K409" i="31" s="1"/>
  <c r="J408" i="31"/>
  <c r="K408" i="31" s="1"/>
  <c r="J407" i="31"/>
  <c r="K407" i="31" s="1"/>
  <c r="J406" i="31"/>
  <c r="K406" i="31" s="1"/>
  <c r="J405" i="31"/>
  <c r="K405" i="31" s="1"/>
  <c r="J404" i="31"/>
  <c r="K404" i="31" s="1"/>
  <c r="J403" i="31"/>
  <c r="K403" i="31" s="1"/>
  <c r="J402" i="31"/>
  <c r="K402" i="31" s="1"/>
  <c r="J401" i="31"/>
  <c r="K401" i="31" s="1"/>
  <c r="J400" i="31"/>
  <c r="K400" i="31" s="1"/>
  <c r="J399" i="31"/>
  <c r="K399" i="31" s="1"/>
  <c r="J398" i="31"/>
  <c r="K398" i="31" s="1"/>
  <c r="J397" i="31"/>
  <c r="K397" i="31" s="1"/>
  <c r="J396" i="31"/>
  <c r="K396" i="31" s="1"/>
  <c r="J395" i="31"/>
  <c r="K395" i="31" s="1"/>
  <c r="J394" i="31"/>
  <c r="K394" i="31" s="1"/>
  <c r="J393" i="31"/>
  <c r="K393" i="31" s="1"/>
  <c r="J392" i="31"/>
  <c r="K392" i="31" s="1"/>
  <c r="J391" i="31"/>
  <c r="K391" i="31" s="1"/>
  <c r="J390" i="31"/>
  <c r="K390" i="31" s="1"/>
  <c r="J389" i="31"/>
  <c r="K389" i="31" s="1"/>
  <c r="J388" i="31"/>
  <c r="K388" i="31" s="1"/>
  <c r="J387" i="31"/>
  <c r="K387" i="31" s="1"/>
  <c r="J386" i="31"/>
  <c r="K386" i="31" s="1"/>
  <c r="J385" i="31"/>
  <c r="K385" i="31" s="1"/>
  <c r="J384" i="31"/>
  <c r="K384" i="31" s="1"/>
  <c r="J383" i="31"/>
  <c r="K383" i="31" s="1"/>
  <c r="J382" i="31"/>
  <c r="K382" i="31" s="1"/>
  <c r="J381" i="31"/>
  <c r="K381" i="31" s="1"/>
  <c r="J380" i="31"/>
  <c r="K380" i="31" s="1"/>
  <c r="J379" i="31"/>
  <c r="K379" i="31" s="1"/>
  <c r="J378" i="31"/>
  <c r="K378" i="31" s="1"/>
  <c r="J377" i="31"/>
  <c r="K377" i="31" s="1"/>
  <c r="J376" i="31"/>
  <c r="K376" i="31" s="1"/>
  <c r="J375" i="31"/>
  <c r="K375" i="31" s="1"/>
  <c r="J374" i="31"/>
  <c r="K374" i="31" s="1"/>
  <c r="J373" i="31"/>
  <c r="K373" i="31" s="1"/>
  <c r="J372" i="31"/>
  <c r="K372" i="31" s="1"/>
  <c r="J371" i="31"/>
  <c r="K371" i="31" s="1"/>
  <c r="J370" i="31"/>
  <c r="K370" i="31" s="1"/>
  <c r="J369" i="31"/>
  <c r="K369" i="31" s="1"/>
  <c r="J368" i="31"/>
  <c r="K368" i="31" s="1"/>
  <c r="J367" i="31"/>
  <c r="K367" i="31" s="1"/>
  <c r="J366" i="31"/>
  <c r="K366" i="31" s="1"/>
  <c r="J365" i="31"/>
  <c r="K365" i="31" s="1"/>
  <c r="J364" i="31"/>
  <c r="K364" i="31" s="1"/>
  <c r="J363" i="31"/>
  <c r="K363" i="31" s="1"/>
  <c r="J362" i="31"/>
  <c r="K362" i="31" s="1"/>
  <c r="J361" i="31"/>
  <c r="K361" i="31" s="1"/>
  <c r="J360" i="31"/>
  <c r="K360" i="31" s="1"/>
  <c r="J359" i="31"/>
  <c r="K359" i="31" s="1"/>
  <c r="J358" i="31"/>
  <c r="K358" i="31" s="1"/>
  <c r="J357" i="31"/>
  <c r="K357" i="31" s="1"/>
  <c r="J356" i="31"/>
  <c r="K356" i="31" s="1"/>
  <c r="J355" i="31"/>
  <c r="K355" i="31" s="1"/>
  <c r="J354" i="31"/>
  <c r="K354" i="31" s="1"/>
  <c r="J353" i="31"/>
  <c r="K353" i="31" s="1"/>
  <c r="J352" i="31"/>
  <c r="K352" i="31" s="1"/>
  <c r="J351" i="31"/>
  <c r="K351" i="31" s="1"/>
  <c r="J350" i="31"/>
  <c r="K350" i="31" s="1"/>
  <c r="J349" i="31"/>
  <c r="K349" i="31" s="1"/>
  <c r="J348" i="31"/>
  <c r="K348" i="31" s="1"/>
  <c r="J347" i="31"/>
  <c r="K347" i="31" s="1"/>
  <c r="J346" i="31"/>
  <c r="K346" i="31" s="1"/>
  <c r="J345" i="31"/>
  <c r="K345" i="31" s="1"/>
  <c r="J344" i="31"/>
  <c r="K344" i="31" s="1"/>
  <c r="J343" i="31"/>
  <c r="K343" i="31" s="1"/>
  <c r="J342" i="31"/>
  <c r="K342" i="31" s="1"/>
  <c r="J341" i="31"/>
  <c r="K341" i="31" s="1"/>
  <c r="J340" i="31"/>
  <c r="K340" i="31" s="1"/>
  <c r="J339" i="31"/>
  <c r="K339" i="31" s="1"/>
  <c r="J338" i="31"/>
  <c r="K338" i="31" s="1"/>
  <c r="J337" i="31"/>
  <c r="K337" i="31" s="1"/>
  <c r="J336" i="31"/>
  <c r="K336" i="31" s="1"/>
  <c r="J335" i="31"/>
  <c r="K335" i="31" s="1"/>
  <c r="J334" i="31"/>
  <c r="K334" i="31" s="1"/>
  <c r="J333" i="31"/>
  <c r="K333" i="31" s="1"/>
  <c r="J332" i="31"/>
  <c r="K332" i="31" s="1"/>
  <c r="J331" i="31"/>
  <c r="K331" i="31" s="1"/>
  <c r="J330" i="31"/>
  <c r="K330" i="31" s="1"/>
  <c r="J329" i="31"/>
  <c r="K329" i="31" s="1"/>
  <c r="J328" i="31"/>
  <c r="K328" i="31" s="1"/>
  <c r="J327" i="31"/>
  <c r="K327" i="31" s="1"/>
  <c r="J326" i="31"/>
  <c r="K326" i="31" s="1"/>
  <c r="J325" i="31"/>
  <c r="K325" i="31" s="1"/>
  <c r="J324" i="31"/>
  <c r="K324" i="31" s="1"/>
  <c r="J323" i="31"/>
  <c r="K323" i="31" s="1"/>
  <c r="J322" i="31"/>
  <c r="K322" i="31" s="1"/>
  <c r="J321" i="31"/>
  <c r="K321" i="31" s="1"/>
  <c r="J320" i="31"/>
  <c r="K320" i="31" s="1"/>
  <c r="J319" i="31"/>
  <c r="K319" i="31" s="1"/>
  <c r="J318" i="31"/>
  <c r="K318" i="31" s="1"/>
  <c r="J317" i="31"/>
  <c r="K317" i="31" s="1"/>
  <c r="J316" i="31"/>
  <c r="K316" i="31" s="1"/>
  <c r="J315" i="31"/>
  <c r="K315" i="31" s="1"/>
  <c r="J314" i="31"/>
  <c r="K314" i="31" s="1"/>
  <c r="J313" i="31"/>
  <c r="K313" i="31" s="1"/>
  <c r="J312" i="31"/>
  <c r="K312" i="31" s="1"/>
  <c r="J311" i="31"/>
  <c r="K311" i="31" s="1"/>
  <c r="J310" i="31"/>
  <c r="K310" i="31" s="1"/>
  <c r="J309" i="31"/>
  <c r="K309" i="31" s="1"/>
  <c r="J308" i="31"/>
  <c r="K308" i="31" s="1"/>
  <c r="J307" i="31"/>
  <c r="K307" i="31" s="1"/>
  <c r="J306" i="31"/>
  <c r="K306" i="31" s="1"/>
  <c r="J305" i="31"/>
  <c r="K305" i="31" s="1"/>
  <c r="J304" i="31"/>
  <c r="K304" i="31" s="1"/>
  <c r="J303" i="31"/>
  <c r="K303" i="31" s="1"/>
  <c r="J302" i="31"/>
  <c r="K302" i="31" s="1"/>
  <c r="J301" i="31"/>
  <c r="K301" i="31" s="1"/>
  <c r="J300" i="31"/>
  <c r="K300" i="31" s="1"/>
  <c r="J299" i="31"/>
  <c r="K299" i="31" s="1"/>
  <c r="J298" i="31"/>
  <c r="K298" i="31" s="1"/>
  <c r="J297" i="31"/>
  <c r="K297" i="31" s="1"/>
  <c r="J296" i="31"/>
  <c r="K296" i="31" s="1"/>
  <c r="J295" i="31"/>
  <c r="K295" i="31" s="1"/>
  <c r="J294" i="31"/>
  <c r="K294" i="31" s="1"/>
  <c r="J293" i="31"/>
  <c r="K293" i="31" s="1"/>
  <c r="J292" i="31"/>
  <c r="K292" i="31" s="1"/>
  <c r="J291" i="31"/>
  <c r="K291" i="31" s="1"/>
  <c r="J290" i="31"/>
  <c r="K290" i="31" s="1"/>
  <c r="J289" i="31"/>
  <c r="K289" i="31" s="1"/>
  <c r="J288" i="31"/>
  <c r="K288" i="31" s="1"/>
  <c r="J287" i="31"/>
  <c r="K287" i="31" s="1"/>
  <c r="J286" i="31"/>
  <c r="K286" i="31" s="1"/>
  <c r="J285" i="31"/>
  <c r="K285" i="31" s="1"/>
  <c r="J284" i="31"/>
  <c r="K284" i="31" s="1"/>
  <c r="J283" i="31"/>
  <c r="K283" i="31" s="1"/>
  <c r="J282" i="31"/>
  <c r="K282" i="31" s="1"/>
  <c r="J281" i="31"/>
  <c r="K281" i="31" s="1"/>
  <c r="J280" i="31"/>
  <c r="K280" i="31" s="1"/>
  <c r="J279" i="31"/>
  <c r="K279" i="31" s="1"/>
  <c r="J278" i="31"/>
  <c r="K278" i="31" s="1"/>
  <c r="J277" i="31"/>
  <c r="K277" i="31" s="1"/>
  <c r="J276" i="31"/>
  <c r="K276" i="31" s="1"/>
  <c r="J275" i="31"/>
  <c r="K275" i="31" s="1"/>
  <c r="J274" i="31"/>
  <c r="K274" i="31" s="1"/>
  <c r="J273" i="31"/>
  <c r="K273" i="31" s="1"/>
  <c r="J272" i="31"/>
  <c r="K272" i="31" s="1"/>
  <c r="J271" i="31"/>
  <c r="K271" i="31" s="1"/>
  <c r="J270" i="31"/>
  <c r="K270" i="31" s="1"/>
  <c r="J269" i="31"/>
  <c r="K269" i="31" s="1"/>
  <c r="J268" i="31"/>
  <c r="K268" i="31" s="1"/>
  <c r="J267" i="31"/>
  <c r="K267" i="31" s="1"/>
  <c r="J266" i="31"/>
  <c r="K266" i="31" s="1"/>
  <c r="J265" i="31"/>
  <c r="K265" i="31" s="1"/>
  <c r="J264" i="31"/>
  <c r="K264" i="31" s="1"/>
  <c r="J263" i="31"/>
  <c r="K263" i="31" s="1"/>
  <c r="J262" i="31"/>
  <c r="K262" i="31" s="1"/>
  <c r="J261" i="31"/>
  <c r="K261" i="31" s="1"/>
  <c r="J260" i="31"/>
  <c r="K260" i="31" s="1"/>
  <c r="J259" i="31"/>
  <c r="K259" i="31" s="1"/>
  <c r="J258" i="31"/>
  <c r="K258" i="31" s="1"/>
  <c r="J257" i="31"/>
  <c r="K257" i="31" s="1"/>
  <c r="J256" i="31"/>
  <c r="K256" i="31" s="1"/>
  <c r="J255" i="31"/>
  <c r="K255" i="31" s="1"/>
  <c r="J254" i="31"/>
  <c r="K254" i="31" s="1"/>
  <c r="J253" i="31"/>
  <c r="K253" i="31" s="1"/>
  <c r="J252" i="31"/>
  <c r="K252" i="31" s="1"/>
  <c r="J251" i="31"/>
  <c r="K251" i="31" s="1"/>
  <c r="J250" i="31"/>
  <c r="K250" i="31" s="1"/>
  <c r="J249" i="31"/>
  <c r="K249" i="31" s="1"/>
  <c r="J248" i="31"/>
  <c r="K248" i="31" s="1"/>
  <c r="J247" i="31"/>
  <c r="K247" i="31" s="1"/>
  <c r="J246" i="31"/>
  <c r="K246" i="31" s="1"/>
  <c r="J244" i="31"/>
  <c r="K244" i="31" s="1"/>
  <c r="J243" i="31"/>
  <c r="K243" i="31" s="1"/>
  <c r="J242" i="31"/>
  <c r="K242" i="31" s="1"/>
  <c r="J241" i="31"/>
  <c r="K241" i="31" s="1"/>
  <c r="J240" i="31"/>
  <c r="K240" i="31" s="1"/>
  <c r="J239" i="31"/>
  <c r="K239" i="31" s="1"/>
  <c r="J238" i="31"/>
  <c r="K238" i="31" s="1"/>
  <c r="J237" i="31"/>
  <c r="K237" i="31" s="1"/>
  <c r="J236" i="31"/>
  <c r="K236" i="31" s="1"/>
  <c r="J235" i="31"/>
  <c r="K235" i="31" s="1"/>
  <c r="J234" i="31"/>
  <c r="K234" i="31" s="1"/>
  <c r="J233" i="31"/>
  <c r="K233" i="31" s="1"/>
  <c r="J232" i="31"/>
  <c r="K232" i="31" s="1"/>
  <c r="J231" i="31"/>
  <c r="K231" i="31" s="1"/>
  <c r="J230" i="31"/>
  <c r="K230" i="31" s="1"/>
  <c r="J229" i="31"/>
  <c r="K229" i="31" s="1"/>
  <c r="J228" i="31"/>
  <c r="K228" i="31" s="1"/>
  <c r="J227" i="31"/>
  <c r="K227" i="31" s="1"/>
  <c r="J226" i="31"/>
  <c r="K226" i="31" s="1"/>
  <c r="J225" i="31"/>
  <c r="K225" i="31" s="1"/>
  <c r="J224" i="31"/>
  <c r="K224" i="31" s="1"/>
  <c r="K223" i="31"/>
  <c r="K222" i="31"/>
  <c r="K221" i="31"/>
  <c r="K220" i="31"/>
  <c r="J219" i="31"/>
  <c r="K219" i="31" s="1"/>
  <c r="J218" i="31"/>
  <c r="K218" i="31" s="1"/>
  <c r="J217" i="31"/>
  <c r="K217" i="31" s="1"/>
  <c r="J216" i="31"/>
  <c r="K216" i="31" s="1"/>
  <c r="J215" i="31"/>
  <c r="K215" i="31" s="1"/>
  <c r="J214" i="31"/>
  <c r="K214" i="31" s="1"/>
  <c r="J213" i="31"/>
  <c r="K213" i="31" s="1"/>
  <c r="J212" i="31"/>
  <c r="K212" i="31" s="1"/>
  <c r="J211" i="31"/>
  <c r="K211" i="31" s="1"/>
  <c r="J210" i="31"/>
  <c r="K210" i="31" s="1"/>
  <c r="J209" i="31"/>
  <c r="K209" i="31" s="1"/>
  <c r="J208" i="31"/>
  <c r="K208" i="31" s="1"/>
  <c r="J207" i="31"/>
  <c r="K207" i="31" s="1"/>
  <c r="J206" i="31"/>
  <c r="K206" i="31" s="1"/>
  <c r="J205" i="31"/>
  <c r="K205" i="31" s="1"/>
  <c r="J204" i="31"/>
  <c r="K204" i="31" s="1"/>
  <c r="J203" i="31"/>
  <c r="K203" i="31" s="1"/>
  <c r="J202" i="31"/>
  <c r="K202" i="31" s="1"/>
  <c r="J201" i="31"/>
  <c r="K201" i="31" s="1"/>
  <c r="J200" i="31"/>
  <c r="K200" i="31" s="1"/>
  <c r="J199" i="31"/>
  <c r="K199" i="31" s="1"/>
  <c r="J198" i="31"/>
  <c r="K198" i="31" s="1"/>
  <c r="J197" i="31"/>
  <c r="K197" i="31" s="1"/>
  <c r="J196" i="31"/>
  <c r="K196" i="31" s="1"/>
  <c r="J195" i="31"/>
  <c r="K195" i="31" s="1"/>
  <c r="J194" i="31"/>
  <c r="K194" i="31" s="1"/>
  <c r="J193" i="31"/>
  <c r="K193" i="31" s="1"/>
  <c r="J192" i="31"/>
  <c r="K192" i="31" s="1"/>
  <c r="J191" i="31"/>
  <c r="K191" i="31" s="1"/>
  <c r="J190" i="31"/>
  <c r="K190" i="31" s="1"/>
  <c r="J189" i="31"/>
  <c r="K189" i="31" s="1"/>
  <c r="J188" i="31"/>
  <c r="K188" i="31" s="1"/>
  <c r="J187" i="31"/>
  <c r="K187" i="31" s="1"/>
  <c r="J186" i="31"/>
  <c r="K186" i="31" s="1"/>
  <c r="J185" i="31"/>
  <c r="K185" i="31" s="1"/>
  <c r="J184" i="31"/>
  <c r="K184" i="31" s="1"/>
  <c r="J183" i="31"/>
  <c r="K183" i="31" s="1"/>
  <c r="J182" i="31"/>
  <c r="K182" i="31" s="1"/>
  <c r="J181" i="31"/>
  <c r="K181" i="31" s="1"/>
  <c r="J180" i="31"/>
  <c r="K180" i="31" s="1"/>
  <c r="J179" i="31"/>
  <c r="K179" i="31" s="1"/>
  <c r="J178" i="31"/>
  <c r="K178" i="31" s="1"/>
  <c r="J177" i="31"/>
  <c r="K177" i="31" s="1"/>
  <c r="J176" i="31"/>
  <c r="K176" i="31" s="1"/>
  <c r="J175" i="31"/>
  <c r="K175" i="31" s="1"/>
  <c r="J174" i="31"/>
  <c r="K174" i="31" s="1"/>
  <c r="J173" i="31"/>
  <c r="K173" i="31" s="1"/>
  <c r="J172" i="31"/>
  <c r="K172" i="31" s="1"/>
  <c r="J171" i="31"/>
  <c r="K171" i="31" s="1"/>
  <c r="J170" i="31"/>
  <c r="K170" i="31" s="1"/>
  <c r="J169" i="31"/>
  <c r="K169" i="31" s="1"/>
  <c r="J168" i="31"/>
  <c r="K168" i="31" s="1"/>
  <c r="J167" i="31"/>
  <c r="K167" i="31" s="1"/>
  <c r="J166" i="31"/>
  <c r="K166" i="31" s="1"/>
  <c r="J165" i="31"/>
  <c r="K165" i="31" s="1"/>
  <c r="J164" i="31"/>
  <c r="K164" i="31" s="1"/>
  <c r="J163" i="31"/>
  <c r="K163" i="31" s="1"/>
  <c r="J162" i="31"/>
  <c r="K162" i="31" s="1"/>
  <c r="J161" i="31"/>
  <c r="K161" i="31" s="1"/>
  <c r="J160" i="31"/>
  <c r="K160" i="31" s="1"/>
  <c r="J159" i="31"/>
  <c r="K159" i="31" s="1"/>
  <c r="J158" i="31"/>
  <c r="K158" i="31" s="1"/>
  <c r="J157" i="31"/>
  <c r="K157" i="31" s="1"/>
  <c r="J156" i="31"/>
  <c r="K156" i="31" s="1"/>
  <c r="J155" i="31"/>
  <c r="K155" i="31" s="1"/>
  <c r="J154" i="31"/>
  <c r="K154" i="31" s="1"/>
  <c r="J153" i="31"/>
  <c r="K153" i="31" s="1"/>
  <c r="J152" i="31"/>
  <c r="K152" i="31" s="1"/>
  <c r="J151" i="31"/>
  <c r="K151" i="31" s="1"/>
  <c r="J150" i="31"/>
  <c r="K150" i="31" s="1"/>
  <c r="J149" i="31"/>
  <c r="K149" i="31" s="1"/>
  <c r="J148" i="31"/>
  <c r="K148" i="31" s="1"/>
  <c r="J147" i="31"/>
  <c r="K147" i="31" s="1"/>
  <c r="J146" i="31"/>
  <c r="K146" i="31" s="1"/>
  <c r="J145" i="31"/>
  <c r="K145" i="31" s="1"/>
  <c r="J144" i="31"/>
  <c r="K144" i="31" s="1"/>
  <c r="J143" i="31"/>
  <c r="K143" i="31" s="1"/>
  <c r="J142" i="31"/>
  <c r="K142" i="31" s="1"/>
  <c r="J141" i="31"/>
  <c r="K141" i="31" s="1"/>
  <c r="J140" i="31"/>
  <c r="K140" i="31" s="1"/>
  <c r="J139" i="31"/>
  <c r="K139" i="31" s="1"/>
  <c r="J138" i="31"/>
  <c r="K138" i="31" s="1"/>
  <c r="J137" i="31"/>
  <c r="K137" i="31" s="1"/>
  <c r="J136" i="31"/>
  <c r="K136" i="31" s="1"/>
  <c r="G521" i="31"/>
  <c r="K521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tc={4E3F399B-3A9E-4753-9A1D-7D412C762CB2}</author>
    <author>tc={590331B8-5E27-41CA-B2F7-D111947928BA}</author>
    <author>tc={7165AA8C-8240-48FD-9497-CD734FB01629}</author>
    <author>tc={6425C0EA-8080-4470-BB24-E013B3D11DEA}</author>
    <author>tc={456485FD-842D-4930-9CB9-A1AF6BCD16E2}</author>
    <author>tc={95C2D17F-9775-4A41-AEC3-898511C416FE}</author>
    <author>tc={77DF7833-B5AC-47BD-86C9-0003EDFAFDDA}</author>
    <author>tc={CD2F9FCB-D453-4994-A6C7-72C297682798}</author>
    <author>tc={D83E64B6-38CD-4718-B664-51F9A39D856E}</author>
    <author>tc={A81BEF6C-5C2F-4FB2-BB4D-E9E5E41CA2DA}</author>
    <author>tc={5E47B7AE-6899-4E45-A07E-0FE453E6F2FD}</author>
    <author>tc={D6CA616A-6D14-4141-A9DC-08131BCC7039}</author>
    <author>tc={B9777512-4A36-491D-B57F-A0D3DB15E175}</author>
    <author>tc={103A42B5-C472-476C-808F-3FDE9629DFCF}</author>
    <author>tc={8857F5E1-C417-48F3-BCEF-339E43D12112}</author>
    <author>tc={B25C01FB-0795-48F1-B6B7-3A727CA37B46}</author>
    <author>tc={4D49B5F5-FAA0-4B05-AFD1-E7B2859FCD33}</author>
    <author>tc={ED0C63C0-2636-4F74-875E-A3CCE0E73622}</author>
    <author>tc={556F1C09-A102-438D-8B08-06533E3B8638}</author>
    <author>tc={50332264-CCE4-4B29-8446-D85718D1CB68}</author>
    <author>tc={3DEF6D15-5F4F-4F00-BFAD-10ED39029C5B}</author>
    <author>tc={9477756E-5237-4E7A-9720-AC2E1C481590}</author>
    <author>tc={00A8B87F-A8AD-4FB1-B469-BDE8DAC62B88}</author>
    <author>tc={F76C5928-5AEC-44FF-AAAE-3FDE473212A6}</author>
    <author>tc={D89596D9-1A7B-435E-812E-8D75AAFBC9AC}</author>
    <author>tc={F8CC1681-F1FE-44BB-9EE4-D4A888885640}</author>
    <author>tc={65A30BF0-E8EE-4A6B-A53F-DF6515457459}</author>
    <author>tc={1DFDD18C-F12E-40C3-9D56-3948D4728BDB}</author>
    <author>tc={25A9608B-7DFB-4970-96AC-53709E715920}</author>
    <author>tc={E22FA964-3681-4401-BC30-3B765B92DF3B}</author>
    <author>tc={09D0D41B-2AAD-4D66-A0BB-08C5102DEACB}</author>
    <author>Usuario</author>
    <author>tc={943A88B1-1D1E-4971-B453-BC9F92FA5F57}</author>
    <author>tc={E91F7111-7436-47B3-9698-4714AD5CCA08}</author>
  </authors>
  <commentList>
    <comment ref="B34" authorId="0" shapeId="0" xr:uid="{4E3F399B-3A9E-4753-9A1D-7D412C762C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Item na ability para formatação</t>
      </text>
    </comment>
    <comment ref="B80" authorId="1" shapeId="0" xr:uid="{590331B8-5E27-41CA-B2F7-D111947928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ESTRAGADO</t>
      </text>
    </comment>
    <comment ref="B88" authorId="2" shapeId="0" xr:uid="{7165AA8C-8240-48FD-9497-CD734FB016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RESPOSTA</t>
      </text>
    </comment>
    <comment ref="B89" authorId="3" shapeId="0" xr:uid="{6425C0EA-8080-4470-BB24-E013B3D11D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RESPOSTA</t>
      </text>
    </comment>
    <comment ref="B90" authorId="4" shapeId="0" xr:uid="{456485FD-842D-4930-9CB9-A1AF6BCD16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campo</t>
      </text>
    </comment>
    <comment ref="B91" authorId="5" shapeId="0" xr:uid="{95C2D17F-9775-4A41-AEC3-898511C416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campo</t>
      </text>
    </comment>
    <comment ref="B96" authorId="6" shapeId="0" xr:uid="{77DF7833-B5AC-47BD-86C9-0003EDFAFD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DEFEITO</t>
      </text>
    </comment>
    <comment ref="B97" authorId="7" shapeId="0" xr:uid="{CD2F9FCB-D453-4994-A6C7-72C2976827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DEFEITO</t>
      </text>
    </comment>
    <comment ref="B99" authorId="8" shapeId="0" xr:uid="{D83E64B6-38CD-4718-B664-51F9A39D85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campo</t>
      </text>
    </comment>
    <comment ref="B100" authorId="9" shapeId="0" xr:uid="{A81BEF6C-5C2F-4FB2-BB4D-E9E5E41CA2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DEFEITO</t>
      </text>
    </comment>
    <comment ref="B114" authorId="10" shapeId="0" xr:uid="{5E47B7AE-6899-4E45-A07E-0FE453E6F2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
Responder:
    Olhar marcio</t>
      </text>
    </comment>
    <comment ref="B134" authorId="11" shapeId="0" xr:uid="{D6CA616A-6D14-4141-A9DC-08131BCC70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ESTRAGADO
Responder:
    Olhar conserto com Henrique </t>
      </text>
    </comment>
    <comment ref="B148" authorId="12" shapeId="0" xr:uid="{B9777512-4A36-491D-B57F-A0D3DB15E1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Avaliar conserto</t>
      </text>
    </comment>
    <comment ref="B166" authorId="13" shapeId="0" xr:uid="{103A42B5-C472-476C-808F-3FDE9629DF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campo</t>
      </text>
    </comment>
    <comment ref="B170" authorId="14" shapeId="0" xr:uid="{8857F5E1-C417-48F3-BCEF-339E43D121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177" authorId="15" shapeId="0" xr:uid="{B25C01FB-0795-48F1-B6B7-3A727CA37B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183" authorId="16" shapeId="0" xr:uid="{4D49B5F5-FAA0-4B05-AFD1-E7B2859FC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188" authorId="17" shapeId="0" xr:uid="{ED0C63C0-2636-4F74-875E-A3CCE0E736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190" authorId="18" shapeId="0" xr:uid="{556F1C09-A102-438D-8B08-06533E3B86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191" authorId="19" shapeId="0" xr:uid="{50332264-CCE4-4B29-8446-D85718D1CB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192" authorId="20" shapeId="0" xr:uid="{3DEF6D15-5F4F-4F00-BFAD-10ED39029C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resposta</t>
      </text>
    </comment>
    <comment ref="B209" authorId="21" shapeId="0" xr:uid="{9477756E-5237-4E7A-9720-AC2E1C4815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211" authorId="22" shapeId="0" xr:uid="{00A8B87F-A8AD-4FB1-B469-BDE8DAC62B8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OLHAR IGOR 
</t>
      </text>
    </comment>
    <comment ref="B213" authorId="23" shapeId="0" xr:uid="{F76C5928-5AEC-44FF-AAAE-3FDE473212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Paulo Campos</t>
      </text>
    </comment>
    <comment ref="B220" authorId="24" shapeId="0" xr:uid="{D89596D9-1A7B-435E-812E-8D75AAFBC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resposta</t>
      </text>
    </comment>
    <comment ref="B245" authorId="25" shapeId="0" xr:uid="{F8CC1681-F1FE-44BB-9EE4-D4A8888856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249" authorId="26" shapeId="0" xr:uid="{65A30BF0-E8EE-4A6B-A53F-DF65154574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250" authorId="27" shapeId="0" xr:uid="{1DFDD18C-F12E-40C3-9D56-3948D4728B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252" authorId="28" shapeId="0" xr:uid="{25A9608B-7DFB-4970-96AC-53709E7159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254" authorId="29" shapeId="0" xr:uid="{E22FA964-3681-4401-BC30-3B765B92DF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  <comment ref="B256" authorId="30" shapeId="0" xr:uid="{09D0D41B-2AAD-4D66-A0BB-08C5102DEA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resposta</t>
      </text>
    </comment>
    <comment ref="B265" authorId="31" shapeId="0" xr:uid="{45F59566-5FB5-403F-841F-B12541FC1776}">
      <text>
        <r>
          <rPr>
            <b/>
            <sz val="9"/>
            <color indexed="81"/>
            <rFont val="Segoe UI"/>
            <charset val="1"/>
          </rPr>
          <t>Usuario:</t>
        </r>
        <r>
          <rPr>
            <sz val="9"/>
            <color indexed="81"/>
            <rFont val="Segoe UI"/>
            <charset val="1"/>
          </rPr>
          <t xml:space="preserve">
Material enviado para Cláudio Henrique (Executivo Flat 1)
22/07/2026</t>
        </r>
      </text>
    </comment>
    <comment ref="B275" authorId="32" shapeId="0" xr:uid="{943A88B1-1D1E-4971-B453-BC9F92FA5F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Avaliar conserto</t>
      </text>
    </comment>
    <comment ref="B283" authorId="33" shapeId="0" xr:uid="{E91F7111-7436-47B3-9698-4714AD5CCA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sabe onde está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  <author>tc={FA7B56B6-8D60-47C8-9AC0-8A47D2383D8A}</author>
    <author>Usuario</author>
  </authors>
  <commentList>
    <comment ref="A5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Descartado</t>
        </r>
      </text>
    </comment>
    <comment ref="A6" authorId="1" shapeId="0" xr:uid="{00000000-0006-0000-01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Equipamento inativo, o mesmo foi devolvido para o fabricante.</t>
      </text>
    </comment>
    <comment ref="A7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323</t>
        </r>
      </text>
    </comment>
    <comment ref="A8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324</t>
        </r>
      </text>
    </comment>
    <comment ref="A9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322</t>
        </r>
      </text>
    </comment>
    <comment ref="A10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349</t>
        </r>
      </text>
    </comment>
    <comment ref="A11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350</t>
        </r>
      </text>
    </comment>
    <comment ref="A12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351</t>
        </r>
      </text>
    </comment>
    <comment ref="A13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352</t>
        </r>
      </text>
    </comment>
    <comment ref="A14" authorId="0" shapeId="0" xr:uid="{00000000-0006-0000-0100-00000A000000}">
      <text>
        <r>
          <rPr>
            <b/>
            <sz val="9"/>
            <color indexed="81"/>
            <rFont val="Segoe UI"/>
            <family val="2"/>
          </rPr>
          <t>Foi vendido para o Lindemberg</t>
        </r>
      </text>
    </comment>
    <comment ref="A15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Patrimônio excluido, pois foi vendido para o lindemberg</t>
        </r>
      </text>
    </comment>
    <comment ref="A16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Ferramenta foi perdida, Elioenai fez a reposição com uma trena nova de patrimônio 353.</t>
        </r>
      </text>
    </comment>
    <comment ref="A17" authorId="0" shapeId="0" xr:uid="{00000000-0006-0000-0100-00000D000000}">
      <text>
        <r>
          <rPr>
            <b/>
            <sz val="9"/>
            <color indexed="81"/>
            <rFont val="Segoe UI"/>
            <family val="2"/>
          </rPr>
          <t>FERRAMENTA FOI PERDIDA, ELIOENAI FEZ A REPOSIÇÃO COM UMA TRENA NOVA DE PATRIMÔNIO 354.</t>
        </r>
      </text>
    </comment>
    <comment ref="A18" authorId="0" shapeId="0" xr:uid="{00000000-0006-0000-0100-00000E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367</t>
        </r>
      </text>
    </comment>
    <comment ref="A19" authorId="0" shapeId="0" xr:uid="{00000000-0006-0000-0100-00000F000000}">
      <text>
        <r>
          <rPr>
            <b/>
            <sz val="9"/>
            <color indexed="81"/>
            <rFont val="Segoe UI"/>
            <family val="2"/>
          </rPr>
          <t>Devido ao patrimônio deste torquímetro estar duplicado este patrimônio foi inativado</t>
        </r>
      </text>
    </comment>
    <comment ref="A20" authorId="0" shapeId="0" xr:uid="{00000000-0006-0000-0100-00001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Devido a perca da placa de património foi trocado para o patrimonio 368</t>
        </r>
      </text>
    </comment>
    <comment ref="A21" authorId="0" shapeId="0" xr:uid="{00000000-0006-0000-0100-000011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369</t>
        </r>
      </text>
    </comment>
    <comment ref="A22" authorId="0" shapeId="0" xr:uid="{00000000-0006-0000-0100-000012000000}">
      <text>
        <r>
          <rPr>
            <b/>
            <sz val="9"/>
            <color indexed="81"/>
            <rFont val="Segoe UI"/>
            <family val="2"/>
          </rPr>
          <t xml:space="preserve">
Devido a perca da placa de património foi trocado para o patrimonio 370</t>
        </r>
      </text>
    </comment>
    <comment ref="A23" authorId="0" shapeId="0" xr:uid="{00000000-0006-0000-0100-000013000000}">
      <text>
        <r>
          <rPr>
            <b/>
            <sz val="9"/>
            <color indexed="81"/>
            <rFont val="Segoe UI"/>
            <family val="2"/>
          </rPr>
          <t>Item descartado, pois estava quebrado.</t>
        </r>
      </text>
    </comment>
    <comment ref="A24" authorId="0" shapeId="0" xr:uid="{00000000-0006-0000-0100-000014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372</t>
        </r>
      </text>
    </comment>
    <comment ref="A25" authorId="0" shapeId="0" xr:uid="{00000000-0006-0000-0100-000015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373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26" authorId="0" shapeId="0" xr:uid="{00000000-0006-0000-0100-000016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374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27" authorId="0" shapeId="0" xr:uid="{00000000-0006-0000-0100-000017000000}">
      <text>
        <r>
          <rPr>
            <b/>
            <sz val="9"/>
            <color indexed="81"/>
            <rFont val="Segoe UI"/>
            <family val="2"/>
          </rPr>
          <t>Vendido para o Igor.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28" authorId="0" shapeId="0" xr:uid="{00000000-0006-0000-0100-000018000000}">
      <text>
        <r>
          <rPr>
            <b/>
            <sz val="9"/>
            <color indexed="81"/>
            <rFont val="Segoe UI"/>
            <family val="2"/>
          </rPr>
          <t>Vendido para o Igor.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29" authorId="0" shapeId="0" xr:uid="{00000000-0006-0000-0100-000019000000}">
      <text>
        <r>
          <rPr>
            <b/>
            <sz val="9"/>
            <color indexed="81"/>
            <rFont val="Segoe UI"/>
            <family val="2"/>
          </rPr>
          <t>Vendido para o Igor.</t>
        </r>
      </text>
    </comment>
    <comment ref="A30" authorId="0" shapeId="0" xr:uid="{00000000-0006-0000-0100-00001A000000}">
      <text>
        <r>
          <rPr>
            <b/>
            <sz val="9"/>
            <color indexed="81"/>
            <rFont val="Segoe UI"/>
            <family val="2"/>
          </rPr>
          <t>Vendido para o Igor.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1" authorId="0" shapeId="0" xr:uid="{00000000-0006-0000-0100-00001B000000}">
      <text>
        <r>
          <rPr>
            <b/>
            <sz val="9"/>
            <color indexed="81"/>
            <rFont val="Segoe UI"/>
            <family val="2"/>
          </rPr>
          <t>vendido para o Igor.</t>
        </r>
      </text>
    </comment>
    <comment ref="A32" authorId="0" shapeId="0" xr:uid="{00000000-0006-0000-0100-00001C000000}">
      <text>
        <r>
          <rPr>
            <b/>
            <sz val="9"/>
            <color indexed="81"/>
            <rFont val="Segoe UI"/>
            <family val="2"/>
          </rPr>
          <t>Item descartado.</t>
        </r>
      </text>
    </comment>
    <comment ref="A33" authorId="0" shapeId="0" xr:uid="{00000000-0006-0000-0100-00001D000000}">
      <text>
        <r>
          <rPr>
            <b/>
            <sz val="9"/>
            <color indexed="81"/>
            <rFont val="Segoe UI"/>
            <family val="2"/>
          </rPr>
          <t>Essa geladeira não é da BCM e sim do Breno.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" authorId="2" shapeId="0" xr:uid="{00000000-0006-0000-0100-00001E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 Armário foi substituído por armários fixos na parede da cozinha do ADM.</t>
        </r>
      </text>
    </comment>
    <comment ref="A35" authorId="0" shapeId="0" xr:uid="{00000000-0006-0000-0100-00001F000000}">
      <text>
        <r>
          <rPr>
            <b/>
            <sz val="9"/>
            <color indexed="81"/>
            <rFont val="Segoe UI"/>
            <family val="2"/>
          </rPr>
          <t>Item foi levado para L5 e perdido.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6" authorId="0" shapeId="0" xr:uid="{00000000-0006-0000-0100-000020000000}">
      <text>
        <r>
          <rPr>
            <b/>
            <sz val="9"/>
            <color indexed="81"/>
            <rFont val="Segoe UI"/>
            <family val="2"/>
          </rPr>
          <t>Item estragado, porém continua com o Sávio.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7" authorId="0" shapeId="0" xr:uid="{00000000-0006-0000-0100-000021000000}">
      <text>
        <r>
          <rPr>
            <b/>
            <sz val="9"/>
            <color indexed="81"/>
            <rFont val="Segoe UI"/>
            <family val="2"/>
          </rPr>
          <t>Item estragado, porém continua com o Sávio.</t>
        </r>
      </text>
    </comment>
    <comment ref="A38" authorId="0" shapeId="0" xr:uid="{00000000-0006-0000-0100-000022000000}">
      <text>
        <r>
          <rPr>
            <b/>
            <sz val="9"/>
            <color indexed="81"/>
            <rFont val="Segoe UI"/>
            <family val="2"/>
          </rPr>
          <t xml:space="preserve">Item descartado pois estragou.
</t>
        </r>
      </text>
    </comment>
    <comment ref="A39" authorId="2" shapeId="0" xr:uid="{00000000-0006-0000-0100-000023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383</t>
        </r>
      </text>
    </comment>
    <comment ref="A40" authorId="2" shapeId="0" xr:uid="{00000000-0006-0000-0100-000024000000}">
      <text>
        <r>
          <rPr>
            <b/>
            <sz val="9"/>
            <color indexed="81"/>
            <rFont val="Segoe UI"/>
            <family val="2"/>
          </rPr>
          <t>Devido a perca da placa de património foi trocado para o patrimonio 384</t>
        </r>
      </text>
    </comment>
    <comment ref="A41" authorId="0" shapeId="0" xr:uid="{DDA7AB3F-E0BA-4D90-9878-D3C1CCB681BC}">
      <text>
        <r>
          <rPr>
            <b/>
            <sz val="9"/>
            <color indexed="81"/>
            <rFont val="Segoe UI"/>
            <family val="2"/>
          </rPr>
          <t xml:space="preserve">Devido a perca do património foi trocado para o 476
</t>
        </r>
      </text>
    </comment>
    <comment ref="A42" authorId="0" shapeId="0" xr:uid="{7AE1D5BA-ED53-4D2C-A8CB-50E6D172D761}">
      <text>
        <r>
          <rPr>
            <b/>
            <sz val="9"/>
            <color indexed="81"/>
            <rFont val="Segoe UI"/>
            <family val="2"/>
          </rPr>
          <t>Foi removido o patrimônio, devido ele estar muito ruim e não tem um lugar bom para colocar um novo.</t>
        </r>
      </text>
    </comment>
    <comment ref="A43" authorId="0" shapeId="0" xr:uid="{B4C7BA5C-5BA9-4863-98D1-BE6AE1464701}">
      <text>
        <r>
          <rPr>
            <b/>
            <sz val="9"/>
            <color indexed="81"/>
            <rFont val="Segoe UI"/>
            <family val="2"/>
          </rPr>
          <t xml:space="preserve">Essa ferramenta faz parte de uma caixa de ferramentas completa, patrimônio 219
</t>
        </r>
      </text>
    </comment>
    <comment ref="A44" authorId="0" shapeId="0" xr:uid="{ADCC2063-D762-473D-BC0E-62096D50ADDB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45" authorId="0" shapeId="0" xr:uid="{F3952026-8F8F-4220-BCB3-91506DCB4DF2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46" authorId="0" shapeId="0" xr:uid="{289E3535-53B1-4404-B82C-B12FEC36BF28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47" authorId="0" shapeId="0" xr:uid="{43AC6D92-0065-41A0-87DA-E1501B7BDEEE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48" authorId="0" shapeId="0" xr:uid="{1313D079-D0EA-403A-A10F-A8A6EC486B8D}">
      <text>
        <r>
          <rPr>
            <b/>
            <sz val="9"/>
            <color indexed="81"/>
            <rFont val="Segoe UI"/>
            <family val="2"/>
          </rPr>
          <t xml:space="preserve">Patrimônio descartado devido desgaste, novo patrimônio 488
</t>
        </r>
      </text>
    </comment>
    <comment ref="A49" authorId="0" shapeId="0" xr:uid="{12D070A3-2AA7-4485-BDB4-118161B74EA5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50" authorId="0" shapeId="0" xr:uid="{B82885E4-8A85-42FD-BC3E-BC5BEB3914A9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51" authorId="0" shapeId="0" xr:uid="{8FAE7E6D-F03F-4855-A7F0-B6C3E498FC9E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52" authorId="0" shapeId="0" xr:uid="{BA664AF0-B0E6-4BF2-A2FD-29834EA3683D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53" authorId="0" shapeId="0" xr:uid="{0C9CD60B-75B3-4E99-A61E-975EBA27216A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54" authorId="0" shapeId="0" xr:uid="{8BB0B2D8-9A14-438E-9DDA-CB15E0BFF9FE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55" authorId="0" shapeId="0" xr:uid="{BF638D33-7198-4A4E-8C98-4D9FE416BA69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</text>
    </comment>
    <comment ref="A56" authorId="0" shapeId="0" xr:uid="{890E2E1B-F7C6-4890-8ED2-EF4C29EC0648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219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57" authorId="0" shapeId="0" xr:uid="{9B325C2B-B652-439D-8633-9F8799165920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58" authorId="0" shapeId="0" xr:uid="{A7D64D39-FF5D-431B-B02B-97235D623913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59" authorId="0" shapeId="0" xr:uid="{D3DE4CD2-80C4-4C80-B7BB-53A3322765BF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60" authorId="0" shapeId="0" xr:uid="{08A7C79E-6F81-4623-A8E7-8F9A0D1F741C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61" authorId="0" shapeId="0" xr:uid="{8799A443-5721-4AD2-9249-8C73024406F9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62" authorId="0" shapeId="0" xr:uid="{D8936680-EA40-4A94-9852-8C0E56EC92CE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63" authorId="0" shapeId="0" xr:uid="{E2B4C77E-4079-4A6A-B48E-A54E751828D7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64" authorId="0" shapeId="0" xr:uid="{0CA597CB-B9C4-46B0-8234-2A78068F2E8B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</text>
    </comment>
    <comment ref="A65" authorId="0" shapeId="0" xr:uid="{49ACE13D-4A12-4CDF-AD0D-ADE4AD8EBF37}">
      <text>
        <r>
          <rPr>
            <b/>
            <sz val="9"/>
            <color indexed="81"/>
            <rFont val="Segoe UI"/>
            <family val="2"/>
          </rPr>
          <t>Essa ferramenta faz parte de uma caixa de ferramentas completa, patrimônio 248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66" authorId="0" shapeId="0" xr:uid="{772003C3-FD39-4C64-A6FA-7637075865FB}">
      <text>
        <r>
          <rPr>
            <b/>
            <sz val="9"/>
            <color indexed="81"/>
            <rFont val="Segoe UI"/>
            <family val="2"/>
          </rPr>
          <t xml:space="preserve">Patrimônio perdido e de devido a falta de espaço na peça não foi substiduido.
</t>
        </r>
      </text>
    </comment>
    <comment ref="A67" authorId="0" shapeId="0" xr:uid="{A759CB76-B7A9-4A85-9FAB-B73FF930B814}">
      <text>
        <r>
          <rPr>
            <b/>
            <sz val="9"/>
            <color indexed="81"/>
            <rFont val="Segoe UI"/>
            <family val="2"/>
          </rPr>
          <t xml:space="preserve">Patrimônio perdido e substituido pelo 500
</t>
        </r>
      </text>
    </comment>
    <comment ref="A68" authorId="0" shapeId="0" xr:uid="{3163F250-CEE5-4A33-970A-815E56EBE2A5}">
      <text>
        <r>
          <rPr>
            <b/>
            <sz val="9"/>
            <color indexed="81"/>
            <rFont val="Segoe UI"/>
            <family val="2"/>
          </rPr>
          <t>Patrimônio perdido e substiduido pelo 498</t>
        </r>
      </text>
    </comment>
    <comment ref="A69" authorId="0" shapeId="0" xr:uid="{D975587B-DD83-4ED6-8CA4-D4083F43420E}">
      <text>
        <r>
          <rPr>
            <b/>
            <sz val="9"/>
            <color indexed="81"/>
            <rFont val="Segoe UI"/>
            <family val="2"/>
          </rPr>
          <t>Patrimônio perdido e substituido pelo 492</t>
        </r>
      </text>
    </comment>
    <comment ref="A70" authorId="0" shapeId="0" xr:uid="{34D84B50-C993-46F6-9600-4D0EB32A1CCB}">
      <text>
        <r>
          <rPr>
            <b/>
            <sz val="9"/>
            <color indexed="81"/>
            <rFont val="Segoe UI"/>
            <charset val="1"/>
          </rPr>
          <t xml:space="preserve">Patrimônio perdido e substituido pelo 522
</t>
        </r>
      </text>
    </comment>
    <comment ref="A71" authorId="0" shapeId="0" xr:uid="{68A6A0BB-92D2-4E81-87B9-9B59647A8F5B}">
      <text>
        <r>
          <rPr>
            <b/>
            <sz val="9"/>
            <color indexed="81"/>
            <rFont val="Segoe UI"/>
            <charset val="1"/>
          </rPr>
          <t xml:space="preserve">Patrimônio danificado e substituido pelo 523
</t>
        </r>
      </text>
    </comment>
    <comment ref="A72" authorId="0" shapeId="0" xr:uid="{B99722F1-11CA-45B2-A1F5-BD443FF03482}">
      <text>
        <r>
          <rPr>
            <b/>
            <sz val="9"/>
            <color indexed="81"/>
            <rFont val="Segoe UI"/>
            <charset val="1"/>
          </rPr>
          <t xml:space="preserve">Item perdido </t>
        </r>
      </text>
    </comment>
    <comment ref="A73" authorId="0" shapeId="0" xr:uid="{1510F73D-D6C9-41B2-B1B4-DFAAE9797279}">
      <text>
        <r>
          <rPr>
            <b/>
            <sz val="9"/>
            <color indexed="81"/>
            <rFont val="Segoe UI"/>
            <charset val="1"/>
          </rPr>
          <t xml:space="preserve">Item perdido
</t>
        </r>
      </text>
    </comment>
    <comment ref="A74" authorId="0" shapeId="0" xr:uid="{42EF2B4B-815D-4568-AB26-7E357A548B23}">
      <text>
        <r>
          <rPr>
            <b/>
            <sz val="9"/>
            <color indexed="81"/>
            <rFont val="Segoe UI"/>
            <charset val="1"/>
          </rPr>
          <t>Item perdido</t>
        </r>
      </text>
    </comment>
    <comment ref="A75" authorId="0" shapeId="0" xr:uid="{A3592B04-82F8-4127-B6A6-4769792ABAE2}">
      <text>
        <r>
          <rPr>
            <b/>
            <sz val="9"/>
            <color indexed="81"/>
            <rFont val="Segoe UI"/>
            <charset val="1"/>
          </rPr>
          <t>Item perdido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A76" authorId="0" shapeId="0" xr:uid="{F1AD21F1-4B52-416D-B988-FCDD12A66441}">
      <text>
        <r>
          <rPr>
            <b/>
            <sz val="9"/>
            <color indexed="81"/>
            <rFont val="Segoe UI"/>
            <charset val="1"/>
          </rPr>
          <t>Item perdido</t>
        </r>
      </text>
    </comment>
    <comment ref="A77" authorId="0" shapeId="0" xr:uid="{D2B6275E-E4A6-4096-ADE9-C9945BA16E62}">
      <text>
        <r>
          <rPr>
            <b/>
            <sz val="9"/>
            <color indexed="81"/>
            <rFont val="Segoe UI"/>
            <charset val="1"/>
          </rPr>
          <t>Era uma impressora provisoria emprestada e seu patrimônio foi descartado</t>
        </r>
      </text>
    </comment>
    <comment ref="A78" authorId="0" shapeId="0" xr:uid="{BB39FF23-AB9B-4649-AF27-D854F6F4CA45}">
      <text>
        <r>
          <rPr>
            <b/>
            <sz val="9"/>
            <color indexed="81"/>
            <rFont val="Segoe UI"/>
            <charset val="1"/>
          </rPr>
          <t>Item perdido</t>
        </r>
      </text>
    </comment>
    <comment ref="A79" authorId="0" shapeId="0" xr:uid="{B633E7AB-D2D5-456C-9AA9-9C7B7F2EA72B}">
      <text>
        <r>
          <rPr>
            <b/>
            <sz val="9"/>
            <color indexed="81"/>
            <rFont val="Segoe UI"/>
            <family val="2"/>
          </rPr>
          <t xml:space="preserve">Item descartado
</t>
        </r>
      </text>
    </comment>
    <comment ref="A80" authorId="0" shapeId="0" xr:uid="{B43E992D-283C-4439-868A-CDED74600F4F}">
      <text>
        <r>
          <rPr>
            <b/>
            <sz val="9"/>
            <color indexed="81"/>
            <rFont val="Segoe UI"/>
            <family val="2"/>
          </rPr>
          <t>Item descartado</t>
        </r>
      </text>
    </comment>
    <comment ref="A81" authorId="0" shapeId="0" xr:uid="{00654BBD-99E3-418E-BD84-208CC127BC94}">
      <text>
        <r>
          <rPr>
            <b/>
            <sz val="9"/>
            <color indexed="81"/>
            <rFont val="Segoe UI"/>
            <family val="2"/>
          </rPr>
          <t>Item descartado</t>
        </r>
      </text>
    </comment>
    <comment ref="A82" authorId="0" shapeId="0" xr:uid="{210F7F1F-A588-49A6-A732-E36230BECF8D}">
      <text>
        <r>
          <rPr>
            <b/>
            <sz val="9"/>
            <color indexed="81"/>
            <rFont val="Segoe UI"/>
            <family val="2"/>
          </rPr>
          <t>Item descartado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83" authorId="0" shapeId="0" xr:uid="{CAED0DA9-EAC0-46D5-9384-6DFA436F54B6}">
      <text>
        <r>
          <rPr>
            <b/>
            <sz val="9"/>
            <color indexed="81"/>
            <rFont val="Segoe UI"/>
            <family val="2"/>
          </rPr>
          <t>Item descartado</t>
        </r>
      </text>
    </comment>
    <comment ref="A84" authorId="0" shapeId="0" xr:uid="{0F5E3C6B-3C91-45BA-866B-BAB8E901B0CA}">
      <text>
        <r>
          <rPr>
            <b/>
            <sz val="9"/>
            <color indexed="81"/>
            <rFont val="Segoe UI"/>
            <family val="2"/>
          </rPr>
          <t>Item descartado</t>
        </r>
      </text>
    </comment>
    <comment ref="A85" authorId="0" shapeId="0" xr:uid="{D3DA1B0A-AFEC-41AE-A8A6-993C2F29FC4B}">
      <text>
        <r>
          <rPr>
            <b/>
            <sz val="9"/>
            <color indexed="81"/>
            <rFont val="Segoe UI"/>
            <family val="2"/>
          </rPr>
          <t>Item perdido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86" authorId="0" shapeId="0" xr:uid="{3A2466D3-E398-42B3-B835-DD796AACE820}">
      <text>
        <r>
          <rPr>
            <b/>
            <sz val="9"/>
            <color indexed="81"/>
            <rFont val="Segoe UI"/>
            <family val="2"/>
          </rPr>
          <t>Item perdido</t>
        </r>
      </text>
    </comment>
    <comment ref="A87" authorId="0" shapeId="0" xr:uid="{5900C0F2-9540-435E-B3A4-A59DBB62D3C9}">
      <text>
        <r>
          <rPr>
            <b/>
            <sz val="9"/>
            <color indexed="81"/>
            <rFont val="Segoe UI"/>
            <family val="2"/>
          </rPr>
          <t>Item e patrimônio perdido</t>
        </r>
      </text>
    </comment>
    <comment ref="A88" authorId="0" shapeId="0" xr:uid="{995E648B-3DD2-400B-ABC1-8B88C4468916}">
      <text>
        <r>
          <rPr>
            <b/>
            <sz val="9"/>
            <color indexed="81"/>
            <rFont val="Segoe UI"/>
            <family val="2"/>
          </rPr>
          <t>Item vendido para Carpec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89" authorId="0" shapeId="0" xr:uid="{EF373376-9FFF-4481-9E7D-82CBE29130E4}">
      <text>
        <r>
          <rPr>
            <b/>
            <sz val="9"/>
            <color indexed="81"/>
            <rFont val="Segoe UI"/>
            <charset val="1"/>
          </rPr>
          <t xml:space="preserve">Esse item faz parte da caixa completa 502
</t>
        </r>
      </text>
    </comment>
    <comment ref="A90" authorId="0" shapeId="0" xr:uid="{1F8BBFC8-030E-4188-B816-8F9C37F76C22}">
      <text>
        <r>
          <rPr>
            <b/>
            <sz val="9"/>
            <color indexed="81"/>
            <rFont val="Segoe UI"/>
            <charset val="1"/>
          </rPr>
          <t>Esse item faz parte da caixa completa 502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A91" authorId="0" shapeId="0" xr:uid="{E30D0685-831E-44EA-AB3D-AD95F2E2E9D1}">
      <text>
        <r>
          <rPr>
            <b/>
            <sz val="9"/>
            <color indexed="81"/>
            <rFont val="Segoe UI"/>
            <charset val="1"/>
          </rPr>
          <t>Esse item faz parte da caixa completa 502</t>
        </r>
      </text>
    </comment>
    <comment ref="A92" authorId="0" shapeId="0" xr:uid="{76C85CC7-D088-423B-B038-FA23FB14F2B2}">
      <text>
        <r>
          <rPr>
            <b/>
            <sz val="9"/>
            <color indexed="81"/>
            <rFont val="Segoe UI"/>
            <charset val="1"/>
          </rPr>
          <t>Esse item faz parte da caixa completa 502</t>
        </r>
      </text>
    </comment>
    <comment ref="A93" authorId="0" shapeId="0" xr:uid="{18A3DE8B-EF9C-4FAD-8795-9D1B5BA91C0E}">
      <text>
        <r>
          <rPr>
            <b/>
            <sz val="9"/>
            <color indexed="81"/>
            <rFont val="Segoe UI"/>
            <charset val="1"/>
          </rPr>
          <t>Esse item faz parte da caixa completa 502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A94" authorId="0" shapeId="0" xr:uid="{8A03BEE1-18ED-425B-AF4C-F026A62318F8}">
      <text>
        <r>
          <rPr>
            <b/>
            <sz val="9"/>
            <color indexed="81"/>
            <rFont val="Segoe UI"/>
            <charset val="1"/>
          </rPr>
          <t>Esse item faz parte da caixa completa 502</t>
        </r>
      </text>
    </comment>
    <comment ref="A95" authorId="0" shapeId="0" xr:uid="{2EDFEA25-2C50-49AC-8390-7F7C2820D7AC}">
      <text>
        <r>
          <rPr>
            <b/>
            <sz val="9"/>
            <color indexed="81"/>
            <rFont val="Segoe UI"/>
            <charset val="1"/>
          </rPr>
          <t>Esse item faz parte da caixa completa 525</t>
        </r>
      </text>
    </comment>
    <comment ref="A96" authorId="0" shapeId="0" xr:uid="{42070009-F826-4F5A-B57F-E7A946C7CAED}">
      <text>
        <r>
          <rPr>
            <b/>
            <sz val="9"/>
            <color indexed="81"/>
            <rFont val="Segoe UI"/>
            <charset val="1"/>
          </rPr>
          <t>Esse item faz parte da caixa completa 359</t>
        </r>
      </text>
    </comment>
    <comment ref="A97" authorId="0" shapeId="0" xr:uid="{C48C4258-1F46-4054-8BA3-B7F21312BF8E}">
      <text>
        <r>
          <rPr>
            <b/>
            <sz val="9"/>
            <color indexed="81"/>
            <rFont val="Segoe UI"/>
            <charset val="1"/>
          </rPr>
          <t>Esse item faz parte da caixa completa 359</t>
        </r>
      </text>
    </comment>
    <comment ref="A98" authorId="0" shapeId="0" xr:uid="{4E21E5AC-EE67-4164-A912-2ED840758E6B}">
      <text>
        <r>
          <rPr>
            <b/>
            <sz val="9"/>
            <color indexed="81"/>
            <rFont val="Segoe UI"/>
            <charset val="1"/>
          </rPr>
          <t>Esse item faz parte da caixa completa 359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A99" authorId="0" shapeId="0" xr:uid="{10A4A6D9-A292-473C-89F8-5CB98DF9B582}">
      <text>
        <r>
          <rPr>
            <b/>
            <sz val="9"/>
            <color indexed="81"/>
            <rFont val="Segoe UI"/>
            <charset val="1"/>
          </rPr>
          <t xml:space="preserve">Monitor vendido ao Claudio
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<sst xmlns="http://schemas.openxmlformats.org/spreadsheetml/2006/main" count="4313" uniqueCount="1431">
  <si>
    <t>SISTEMA DE GESTÃO DA QUALIDADE</t>
  </si>
  <si>
    <t>MATRIZ DE CONTROLE DE PATRIMÔNIO</t>
  </si>
  <si>
    <t>MATERIAL</t>
  </si>
  <si>
    <t>LOCAL</t>
  </si>
  <si>
    <t>VALORES FISCAIS</t>
  </si>
  <si>
    <t>Nº PATRIMÔNIO</t>
  </si>
  <si>
    <t>RESPONSÁVEL</t>
  </si>
  <si>
    <t>Nº
SÉRIE</t>
  </si>
  <si>
    <t>TOTAL</t>
  </si>
  <si>
    <t>O</t>
  </si>
  <si>
    <t>R</t>
  </si>
  <si>
    <t>Valor Real</t>
  </si>
  <si>
    <t>Data</t>
  </si>
  <si>
    <t>Revisão: 00</t>
  </si>
  <si>
    <t>Estado  Bom/Regular ou Ótimo</t>
  </si>
  <si>
    <t>BCM-00001</t>
  </si>
  <si>
    <t>BCM-00002</t>
  </si>
  <si>
    <t>BCM-00003</t>
  </si>
  <si>
    <t>BCM-00004</t>
  </si>
  <si>
    <t>BCM-00005</t>
  </si>
  <si>
    <t>BCM-00006</t>
  </si>
  <si>
    <t>BCM-00007</t>
  </si>
  <si>
    <t>BCM-00008</t>
  </si>
  <si>
    <t>BCM-00009</t>
  </si>
  <si>
    <t>BCM-00010</t>
  </si>
  <si>
    <t>BCM-00011</t>
  </si>
  <si>
    <t>BCM-00012</t>
  </si>
  <si>
    <t>BCM-00013</t>
  </si>
  <si>
    <t>BCM-00014</t>
  </si>
  <si>
    <t>BCM-00015</t>
  </si>
  <si>
    <t>BCM-00016</t>
  </si>
  <si>
    <t>BCM-00017</t>
  </si>
  <si>
    <t>BCM-00018</t>
  </si>
  <si>
    <t>BCM-00019</t>
  </si>
  <si>
    <t>BCM-00020</t>
  </si>
  <si>
    <t>BCM-00021</t>
  </si>
  <si>
    <t>BCM-00022</t>
  </si>
  <si>
    <t>BCM-00023</t>
  </si>
  <si>
    <t>BCM-00024</t>
  </si>
  <si>
    <t>BCM-00025</t>
  </si>
  <si>
    <t>BCM-00026</t>
  </si>
  <si>
    <t>BCM-00027</t>
  </si>
  <si>
    <t>BCM-00028</t>
  </si>
  <si>
    <t>BCM-00029</t>
  </si>
  <si>
    <t>BCM-00030</t>
  </si>
  <si>
    <t>BCM-00031</t>
  </si>
  <si>
    <t>BCM-00032</t>
  </si>
  <si>
    <t>BCM-00033</t>
  </si>
  <si>
    <t>BCM-00034</t>
  </si>
  <si>
    <t>BCM-00035</t>
  </si>
  <si>
    <t>BCM-00036</t>
  </si>
  <si>
    <t>BCM-00037</t>
  </si>
  <si>
    <t>BCM-00038</t>
  </si>
  <si>
    <t>BCM-00039</t>
  </si>
  <si>
    <t>BCM-00040</t>
  </si>
  <si>
    <t>BCM-00041</t>
  </si>
  <si>
    <t>BCM-00042</t>
  </si>
  <si>
    <t>BCM-00043</t>
  </si>
  <si>
    <t>BCM-00044</t>
  </si>
  <si>
    <t>BCM-00045</t>
  </si>
  <si>
    <t>BCM-00046</t>
  </si>
  <si>
    <t>BCM-00047</t>
  </si>
  <si>
    <t>BCM-00048</t>
  </si>
  <si>
    <t>BCM-00049</t>
  </si>
  <si>
    <t>BCM-00050</t>
  </si>
  <si>
    <t>BCM-00051</t>
  </si>
  <si>
    <t>BCM-00052</t>
  </si>
  <si>
    <t>BCM-00053</t>
  </si>
  <si>
    <t>BCM-00054</t>
  </si>
  <si>
    <t>BCM-00055</t>
  </si>
  <si>
    <t>BCM-00056</t>
  </si>
  <si>
    <t>BCM-00057</t>
  </si>
  <si>
    <t>BCM-00058</t>
  </si>
  <si>
    <t>BCM-00059</t>
  </si>
  <si>
    <t>BCM-00060</t>
  </si>
  <si>
    <t>BCM-00061</t>
  </si>
  <si>
    <t>BCM-00062</t>
  </si>
  <si>
    <t>BCM-00063</t>
  </si>
  <si>
    <t>BCM-00064</t>
  </si>
  <si>
    <t>BCM-00065</t>
  </si>
  <si>
    <t>BCM-00066</t>
  </si>
  <si>
    <t>BCM-00067</t>
  </si>
  <si>
    <t>BCM-00068</t>
  </si>
  <si>
    <t>BCM-00069</t>
  </si>
  <si>
    <t>BCM-00070</t>
  </si>
  <si>
    <t>BCM-00071</t>
  </si>
  <si>
    <t>BCM-00072</t>
  </si>
  <si>
    <t>BCM-00073</t>
  </si>
  <si>
    <t>BCM-00074</t>
  </si>
  <si>
    <t>BCM-00075</t>
  </si>
  <si>
    <t>BCM-00076</t>
  </si>
  <si>
    <t>BCM-00077</t>
  </si>
  <si>
    <t>BCM-00078</t>
  </si>
  <si>
    <t>BCM-00079</t>
  </si>
  <si>
    <t>BCM-00080</t>
  </si>
  <si>
    <t>BCM-00081</t>
  </si>
  <si>
    <t>BCM-00082</t>
  </si>
  <si>
    <t>BCM-00083</t>
  </si>
  <si>
    <t>BCM-00084</t>
  </si>
  <si>
    <t>BCM-00085</t>
  </si>
  <si>
    <t>BCM-00086</t>
  </si>
  <si>
    <t>BCM-00087</t>
  </si>
  <si>
    <t>BCM-00088</t>
  </si>
  <si>
    <t>BCM-00089</t>
  </si>
  <si>
    <t>BCM-00090</t>
  </si>
  <si>
    <t>BCM-00091</t>
  </si>
  <si>
    <t>BCM-00092</t>
  </si>
  <si>
    <t>BCM-00093</t>
  </si>
  <si>
    <t>BCM-00094</t>
  </si>
  <si>
    <t>BCM-00095</t>
  </si>
  <si>
    <t>BCM-00096</t>
  </si>
  <si>
    <t>BCM-00097</t>
  </si>
  <si>
    <t>BCM-00098</t>
  </si>
  <si>
    <t>BCM-00099</t>
  </si>
  <si>
    <t>BCM-00100</t>
  </si>
  <si>
    <t>BCM-00101</t>
  </si>
  <si>
    <t>BCM-00102</t>
  </si>
  <si>
    <t>BCM-00103</t>
  </si>
  <si>
    <t>BCM-00104</t>
  </si>
  <si>
    <t>BCM-00105</t>
  </si>
  <si>
    <t>BCM-00106</t>
  </si>
  <si>
    <t>BCM-00107</t>
  </si>
  <si>
    <t>BCM-00108</t>
  </si>
  <si>
    <t>BCM-00109</t>
  </si>
  <si>
    <t>BCM-00110</t>
  </si>
  <si>
    <t>BCM-00111</t>
  </si>
  <si>
    <t>BCM-00112</t>
  </si>
  <si>
    <t>BCM-00113</t>
  </si>
  <si>
    <t>BCM-00114</t>
  </si>
  <si>
    <t>BCM-00115</t>
  </si>
  <si>
    <t>BCM-00116</t>
  </si>
  <si>
    <t>BCM-00117</t>
  </si>
  <si>
    <t>BCM-00118</t>
  </si>
  <si>
    <t>BCM-00119</t>
  </si>
  <si>
    <t>BCM-00120</t>
  </si>
  <si>
    <t>BCM-00121</t>
  </si>
  <si>
    <t>BCM-00122</t>
  </si>
  <si>
    <t>BCM-00123</t>
  </si>
  <si>
    <t>BCM-00124</t>
  </si>
  <si>
    <t>BCM-00125</t>
  </si>
  <si>
    <t>BCM-00126</t>
  </si>
  <si>
    <t>BCM-00127</t>
  </si>
  <si>
    <t>BCM-00128</t>
  </si>
  <si>
    <t>BCM-00129</t>
  </si>
  <si>
    <t>BCM-00130</t>
  </si>
  <si>
    <t>BCM-00131</t>
  </si>
  <si>
    <t>BCM-00132</t>
  </si>
  <si>
    <t>BCM-00133</t>
  </si>
  <si>
    <t>BCM-00134</t>
  </si>
  <si>
    <t>BCM-00135</t>
  </si>
  <si>
    <t>BCM-00136</t>
  </si>
  <si>
    <t>BCM-00137</t>
  </si>
  <si>
    <t>BCM-00138</t>
  </si>
  <si>
    <t>BCM-00139</t>
  </si>
  <si>
    <t>BCM-00140</t>
  </si>
  <si>
    <t>BCM-00141</t>
  </si>
  <si>
    <t>BCM-00142</t>
  </si>
  <si>
    <t>BCM-00143</t>
  </si>
  <si>
    <t>BCM-00144</t>
  </si>
  <si>
    <t>BCM-00145</t>
  </si>
  <si>
    <t>BCM-00146</t>
  </si>
  <si>
    <t>BCM-00147</t>
  </si>
  <si>
    <t>BCM-00148</t>
  </si>
  <si>
    <t>BCM-00149</t>
  </si>
  <si>
    <t>BCM-00150</t>
  </si>
  <si>
    <t>BCM-00151</t>
  </si>
  <si>
    <t>BCM-00152</t>
  </si>
  <si>
    <t>BCM-00153</t>
  </si>
  <si>
    <t>BCM-00154</t>
  </si>
  <si>
    <t>BCM-00155</t>
  </si>
  <si>
    <t>BCM-00156</t>
  </si>
  <si>
    <t>BCM-00157</t>
  </si>
  <si>
    <t>BCM-00158</t>
  </si>
  <si>
    <t>BCM-00159</t>
  </si>
  <si>
    <t>BCM-00160</t>
  </si>
  <si>
    <t>BCM-00161</t>
  </si>
  <si>
    <t>BCM-00162</t>
  </si>
  <si>
    <t>BCM-00163</t>
  </si>
  <si>
    <t>BCM-00164</t>
  </si>
  <si>
    <t>BCM-00165</t>
  </si>
  <si>
    <t>BCM-00166</t>
  </si>
  <si>
    <t>BCM-00167</t>
  </si>
  <si>
    <t>BCM-00168</t>
  </si>
  <si>
    <t>BCM-00169</t>
  </si>
  <si>
    <t>BCM-00170</t>
  </si>
  <si>
    <t>BCM-00171</t>
  </si>
  <si>
    <t>BCM-00172</t>
  </si>
  <si>
    <t>BCM-00173</t>
  </si>
  <si>
    <t>BCM-00174</t>
  </si>
  <si>
    <t>BCM-00175</t>
  </si>
  <si>
    <t>BCM-00176</t>
  </si>
  <si>
    <t>BCM-00177</t>
  </si>
  <si>
    <t>BCM-00178</t>
  </si>
  <si>
    <t>BCM-00179</t>
  </si>
  <si>
    <t>BCM-00180</t>
  </si>
  <si>
    <t>BCM-00181</t>
  </si>
  <si>
    <t>BCM-00182</t>
  </si>
  <si>
    <t>BCM-00183</t>
  </si>
  <si>
    <t>BCM-00184</t>
  </si>
  <si>
    <t>BCM-00185</t>
  </si>
  <si>
    <t>BCM-00186</t>
  </si>
  <si>
    <t>BCM-00187</t>
  </si>
  <si>
    <t>BCM-00188</t>
  </si>
  <si>
    <t>BCM-00189</t>
  </si>
  <si>
    <t>BCM-00190</t>
  </si>
  <si>
    <t>BCM-00191</t>
  </si>
  <si>
    <t>BCM-00192</t>
  </si>
  <si>
    <t>BCM-00193</t>
  </si>
  <si>
    <t>BCM-00194</t>
  </si>
  <si>
    <t>BCM-00195</t>
  </si>
  <si>
    <t>BCM-00196</t>
  </si>
  <si>
    <t>BCM-00197</t>
  </si>
  <si>
    <t>BCM-00198</t>
  </si>
  <si>
    <t>BCM-00199</t>
  </si>
  <si>
    <t>BCM-00200</t>
  </si>
  <si>
    <t>BCM-00201</t>
  </si>
  <si>
    <t>BCM-00202</t>
  </si>
  <si>
    <t>BCM-00203</t>
  </si>
  <si>
    <t>BCM-00204</t>
  </si>
  <si>
    <t>BCM-00205</t>
  </si>
  <si>
    <t>BCM-00206</t>
  </si>
  <si>
    <t>BCM-00207</t>
  </si>
  <si>
    <t>BCM-00208</t>
  </si>
  <si>
    <t>BCM-00209</t>
  </si>
  <si>
    <t>BCM-00210</t>
  </si>
  <si>
    <t>BCM-00211</t>
  </si>
  <si>
    <t>BCM-00212</t>
  </si>
  <si>
    <t>BCM-00213</t>
  </si>
  <si>
    <t>BCM-00214</t>
  </si>
  <si>
    <t>BCM-00215</t>
  </si>
  <si>
    <t>BCM-00216</t>
  </si>
  <si>
    <t>BCM-00217</t>
  </si>
  <si>
    <t>BCM-00218</t>
  </si>
  <si>
    <t>BCM-00219</t>
  </si>
  <si>
    <t>BCM-00220</t>
  </si>
  <si>
    <t>BCM-00221</t>
  </si>
  <si>
    <t>BCM-00222</t>
  </si>
  <si>
    <t>BCM-00223</t>
  </si>
  <si>
    <t>BCM-00224</t>
  </si>
  <si>
    <t>BCM-00225</t>
  </si>
  <si>
    <t>BCM-00226</t>
  </si>
  <si>
    <t>BCM-00227</t>
  </si>
  <si>
    <t>BCM-00228</t>
  </si>
  <si>
    <t>BCM-00229</t>
  </si>
  <si>
    <t>BCM-00230</t>
  </si>
  <si>
    <t>BCM-00231</t>
  </si>
  <si>
    <t>BCM-00232</t>
  </si>
  <si>
    <t>BCM-00233</t>
  </si>
  <si>
    <t>BCM-00234</t>
  </si>
  <si>
    <t>BCM-00235</t>
  </si>
  <si>
    <t>BCM-00236</t>
  </si>
  <si>
    <t>BCM-00237</t>
  </si>
  <si>
    <t>BCM-00238</t>
  </si>
  <si>
    <t>BCM-00239</t>
  </si>
  <si>
    <t>BCM-00240</t>
  </si>
  <si>
    <t>BCM-00241</t>
  </si>
  <si>
    <t>BCM-00242</t>
  </si>
  <si>
    <t>BCM-00243</t>
  </si>
  <si>
    <t>BCM-00244</t>
  </si>
  <si>
    <t>BCM-00245</t>
  </si>
  <si>
    <t>BCM-00246</t>
  </si>
  <si>
    <t>BCM-00247</t>
  </si>
  <si>
    <t>BCM-00248</t>
  </si>
  <si>
    <t>BCM-00249</t>
  </si>
  <si>
    <t>BCM-00250</t>
  </si>
  <si>
    <t>BCM-00251</t>
  </si>
  <si>
    <t>BCM-00252</t>
  </si>
  <si>
    <t>BCM-00253</t>
  </si>
  <si>
    <t>BCM-00254</t>
  </si>
  <si>
    <t>BCM-00255</t>
  </si>
  <si>
    <t>BCM-00256</t>
  </si>
  <si>
    <t>BCM-00257</t>
  </si>
  <si>
    <t>BCM-00258</t>
  </si>
  <si>
    <t>BCM-00259</t>
  </si>
  <si>
    <t>BCM-00260</t>
  </si>
  <si>
    <t>BCM-00261</t>
  </si>
  <si>
    <t>BCM-00262</t>
  </si>
  <si>
    <t>BCM-00263</t>
  </si>
  <si>
    <t>BCM-00264</t>
  </si>
  <si>
    <t>BCM-00265</t>
  </si>
  <si>
    <t>BCM-00266</t>
  </si>
  <si>
    <t>BCM-00267</t>
  </si>
  <si>
    <t>BCM-00268</t>
  </si>
  <si>
    <t>BCM-00269</t>
  </si>
  <si>
    <t>BCM-00270</t>
  </si>
  <si>
    <t>BCM-00271</t>
  </si>
  <si>
    <t>BCM-00272</t>
  </si>
  <si>
    <t>BCM-00273</t>
  </si>
  <si>
    <t>BCM-00274</t>
  </si>
  <si>
    <t>BCM-00275</t>
  </si>
  <si>
    <t>BCM-00276</t>
  </si>
  <si>
    <t>BCM-00277</t>
  </si>
  <si>
    <t>BCM-00278</t>
  </si>
  <si>
    <t>BCM-00279</t>
  </si>
  <si>
    <t>BCM-00280</t>
  </si>
  <si>
    <t>BCM-00281</t>
  </si>
  <si>
    <t>BCM-00282</t>
  </si>
  <si>
    <t>BCM-00283</t>
  </si>
  <si>
    <t>BCM-00284</t>
  </si>
  <si>
    <t>BCM-00285</t>
  </si>
  <si>
    <t>BCM-00286</t>
  </si>
  <si>
    <t>BCM-00287</t>
  </si>
  <si>
    <t>BCM-00288</t>
  </si>
  <si>
    <t>BCM-00289</t>
  </si>
  <si>
    <t>BCM-00290</t>
  </si>
  <si>
    <t>BCM-00291</t>
  </si>
  <si>
    <t>BCM-00292</t>
  </si>
  <si>
    <t>BCM-00293</t>
  </si>
  <si>
    <t>BCM-00294</t>
  </si>
  <si>
    <t>BCM-00295</t>
  </si>
  <si>
    <t>BCM-00296</t>
  </si>
  <si>
    <t>BCM-00297</t>
  </si>
  <si>
    <t>BCM-00298</t>
  </si>
  <si>
    <t>BCM-00299</t>
  </si>
  <si>
    <t>BCM-00300</t>
  </si>
  <si>
    <t>BCM-00301</t>
  </si>
  <si>
    <t>BCM-00302</t>
  </si>
  <si>
    <t>BCM-00303</t>
  </si>
  <si>
    <t>BCM-00304</t>
  </si>
  <si>
    <t>BCM-00305</t>
  </si>
  <si>
    <t>BCM-00306</t>
  </si>
  <si>
    <t>BCM-00307</t>
  </si>
  <si>
    <t>BCM-00308</t>
  </si>
  <si>
    <t>BCM-00309</t>
  </si>
  <si>
    <t>BCM-00310</t>
  </si>
  <si>
    <t>BCM-00311</t>
  </si>
  <si>
    <t>BCM-00312</t>
  </si>
  <si>
    <t>BCM-00313</t>
  </si>
  <si>
    <t>BCM-00314</t>
  </si>
  <si>
    <t>BCM-00315</t>
  </si>
  <si>
    <t>BCM-00316</t>
  </si>
  <si>
    <t>BCM-00317</t>
  </si>
  <si>
    <t>BCM-00318</t>
  </si>
  <si>
    <t>BCM-00319</t>
  </si>
  <si>
    <t>BCM-00320</t>
  </si>
  <si>
    <t>BCM-00321</t>
  </si>
  <si>
    <t>BCM-00322</t>
  </si>
  <si>
    <t>BCM-00323</t>
  </si>
  <si>
    <t>BCM-00324</t>
  </si>
  <si>
    <t>BCM-00325</t>
  </si>
  <si>
    <t>BCM-00326</t>
  </si>
  <si>
    <t>BCM-00327</t>
  </si>
  <si>
    <t>BCM-00328</t>
  </si>
  <si>
    <t>BCM-00329</t>
  </si>
  <si>
    <t>BCM-00330</t>
  </si>
  <si>
    <t>BCM-00331</t>
  </si>
  <si>
    <t>BCM-00332</t>
  </si>
  <si>
    <t>BCM-00333</t>
  </si>
  <si>
    <t>BCM-00334</t>
  </si>
  <si>
    <t>BCM-00335</t>
  </si>
  <si>
    <t>BCM-00336</t>
  </si>
  <si>
    <t>BCM-00337</t>
  </si>
  <si>
    <t>BCM-00338</t>
  </si>
  <si>
    <t>BCM-00339</t>
  </si>
  <si>
    <t>BCM-00340</t>
  </si>
  <si>
    <t>BCM-00341</t>
  </si>
  <si>
    <t>BCM-00342</t>
  </si>
  <si>
    <t>BCM-00343</t>
  </si>
  <si>
    <t>BCM-00344</t>
  </si>
  <si>
    <t>BCM-00345</t>
  </si>
  <si>
    <t>BCM-00346</t>
  </si>
  <si>
    <t>BCM-00347</t>
  </si>
  <si>
    <t>BCM-00348</t>
  </si>
  <si>
    <t>BCM-00349</t>
  </si>
  <si>
    <t>BCM-00350</t>
  </si>
  <si>
    <t>BCM-00351</t>
  </si>
  <si>
    <t>BCM-00352</t>
  </si>
  <si>
    <t>BCM-00353</t>
  </si>
  <si>
    <t>BCM-00354</t>
  </si>
  <si>
    <t>BCM-00355</t>
  </si>
  <si>
    <t>BCM-00356</t>
  </si>
  <si>
    <t>BCM-00357</t>
  </si>
  <si>
    <t>BCM-00358</t>
  </si>
  <si>
    <t>BCM-00359</t>
  </si>
  <si>
    <t>BCM-00360</t>
  </si>
  <si>
    <t>BCM-00361</t>
  </si>
  <si>
    <t>BCM-00362</t>
  </si>
  <si>
    <t>BCM-00363</t>
  </si>
  <si>
    <t>BCM-00364</t>
  </si>
  <si>
    <t>BCM-00365</t>
  </si>
  <si>
    <t>BCM-00366</t>
  </si>
  <si>
    <t>BCM-00367</t>
  </si>
  <si>
    <t>BCM-00368</t>
  </si>
  <si>
    <t>BCM-00369</t>
  </si>
  <si>
    <t>BCM-00370</t>
  </si>
  <si>
    <t>BCM-00371</t>
  </si>
  <si>
    <t>BCM-00372</t>
  </si>
  <si>
    <t>BCM-00373</t>
  </si>
  <si>
    <t>BCM-00374</t>
  </si>
  <si>
    <t>BCM-00375</t>
  </si>
  <si>
    <t>BCM-00376</t>
  </si>
  <si>
    <t>BCM-00377</t>
  </si>
  <si>
    <t>BCM-00378</t>
  </si>
  <si>
    <t>BCM-00379</t>
  </si>
  <si>
    <t>BCM-00380</t>
  </si>
  <si>
    <t>BCM-00381</t>
  </si>
  <si>
    <t>BCM-00382</t>
  </si>
  <si>
    <t>BCM-00383</t>
  </si>
  <si>
    <t>BCM-00384</t>
  </si>
  <si>
    <t>BCM-00385</t>
  </si>
  <si>
    <t>BCM-00386</t>
  </si>
  <si>
    <t>BCM-00387</t>
  </si>
  <si>
    <t>BCM-00388</t>
  </si>
  <si>
    <t>BCM-00389</t>
  </si>
  <si>
    <t>BCM-00390</t>
  </si>
  <si>
    <t>BCM-00391</t>
  </si>
  <si>
    <t>BCM-00392</t>
  </si>
  <si>
    <t>BCM-00393</t>
  </si>
  <si>
    <t>BCM-00394</t>
  </si>
  <si>
    <t>BCM-00395</t>
  </si>
  <si>
    <t>BCM-00396</t>
  </si>
  <si>
    <t>BCM-00397</t>
  </si>
  <si>
    <t>BCM-00398</t>
  </si>
  <si>
    <t>BCM-00399</t>
  </si>
  <si>
    <t>BCM-00400</t>
  </si>
  <si>
    <t>BCM-00401</t>
  </si>
  <si>
    <t>BCM-00402</t>
  </si>
  <si>
    <t>BCM-00403</t>
  </si>
  <si>
    <t>BCM-00404</t>
  </si>
  <si>
    <t>BCM-00405</t>
  </si>
  <si>
    <t>BCM-00406</t>
  </si>
  <si>
    <t>BCM-00407</t>
  </si>
  <si>
    <t>BCM-00408</t>
  </si>
  <si>
    <t>BCM-00409</t>
  </si>
  <si>
    <t>BCM-00410</t>
  </si>
  <si>
    <t>BCM-00411</t>
  </si>
  <si>
    <t>BCM-00412</t>
  </si>
  <si>
    <t>BCM-00413</t>
  </si>
  <si>
    <t>BCM-00414</t>
  </si>
  <si>
    <t>BCM-00415</t>
  </si>
  <si>
    <t>BCM-00416</t>
  </si>
  <si>
    <t>BCM-00417</t>
  </si>
  <si>
    <t>BCM-00418</t>
  </si>
  <si>
    <t>BCM-00419</t>
  </si>
  <si>
    <t>BCM-00420</t>
  </si>
  <si>
    <t>BCM-00421</t>
  </si>
  <si>
    <t>BCM-00422</t>
  </si>
  <si>
    <t>BCM-00423</t>
  </si>
  <si>
    <t>BCM-00424</t>
  </si>
  <si>
    <t>BCM-00425</t>
  </si>
  <si>
    <t>BCM-00426</t>
  </si>
  <si>
    <t>BCM-00427</t>
  </si>
  <si>
    <t>BCM-00428</t>
  </si>
  <si>
    <t>BCM-00429</t>
  </si>
  <si>
    <t>BCM-00430</t>
  </si>
  <si>
    <t>BCM-00431</t>
  </si>
  <si>
    <t>BCM-00432</t>
  </si>
  <si>
    <t>BCM-00433</t>
  </si>
  <si>
    <t>BCM-00434</t>
  </si>
  <si>
    <t>BCM-00435</t>
  </si>
  <si>
    <t>BCM-00436</t>
  </si>
  <si>
    <t>BCM-00437</t>
  </si>
  <si>
    <t>BCM-00438</t>
  </si>
  <si>
    <t>BCM-00439</t>
  </si>
  <si>
    <t>BCM-00440</t>
  </si>
  <si>
    <t>BCM-00441</t>
  </si>
  <si>
    <t>BCM-00442</t>
  </si>
  <si>
    <t>BCM-00443</t>
  </si>
  <si>
    <t>BCM-00444</t>
  </si>
  <si>
    <t>BCM-00445</t>
  </si>
  <si>
    <t>BCM-00446</t>
  </si>
  <si>
    <t>BCM-00447</t>
  </si>
  <si>
    <t>BCM-00448</t>
  </si>
  <si>
    <t>BCM-00449</t>
  </si>
  <si>
    <t>BCM-00450</t>
  </si>
  <si>
    <t>BCM-00451</t>
  </si>
  <si>
    <t>BCM-00452</t>
  </si>
  <si>
    <t>BCM-00453</t>
  </si>
  <si>
    <t>BCM-00454</t>
  </si>
  <si>
    <t>BCM-00455</t>
  </si>
  <si>
    <t>BCM-00456</t>
  </si>
  <si>
    <t>BCM-00457</t>
  </si>
  <si>
    <t>BCM-00458</t>
  </si>
  <si>
    <t>BCM-00459</t>
  </si>
  <si>
    <t>BCM-00460</t>
  </si>
  <si>
    <t>BCM-00461</t>
  </si>
  <si>
    <t>BCM-00462</t>
  </si>
  <si>
    <t>BCM-00463</t>
  </si>
  <si>
    <t>BCM-00464</t>
  </si>
  <si>
    <t>BCM-00465</t>
  </si>
  <si>
    <t>BCM-00466</t>
  </si>
  <si>
    <t>BCM-00467</t>
  </si>
  <si>
    <t>BCM-00468</t>
  </si>
  <si>
    <t>BCM-00469</t>
  </si>
  <si>
    <t>BCM-00470</t>
  </si>
  <si>
    <t>BCM-00471</t>
  </si>
  <si>
    <t>BCM-00472</t>
  </si>
  <si>
    <t>BCM-00473</t>
  </si>
  <si>
    <t>BCM-00474</t>
  </si>
  <si>
    <t>BCM-00475</t>
  </si>
  <si>
    <t>BCM-00476</t>
  </si>
  <si>
    <t>BCM-00477</t>
  </si>
  <si>
    <t>BCM-00478</t>
  </si>
  <si>
    <t>BCM-00479</t>
  </si>
  <si>
    <t>BCM-00480</t>
  </si>
  <si>
    <t>BCM-00481</t>
  </si>
  <si>
    <t>BCM-00482</t>
  </si>
  <si>
    <t>BCM-00483</t>
  </si>
  <si>
    <t>BCM-00484</t>
  </si>
  <si>
    <t>BCM-00485</t>
  </si>
  <si>
    <t>BCM-00486</t>
  </si>
  <si>
    <t>BCM-00487</t>
  </si>
  <si>
    <t>BCM-00488</t>
  </si>
  <si>
    <t>BCM-00489</t>
  </si>
  <si>
    <t>BCM-00490</t>
  </si>
  <si>
    <t>BCM-00491</t>
  </si>
  <si>
    <t>BCM-00492</t>
  </si>
  <si>
    <t>BCM-00493</t>
  </si>
  <si>
    <t>BCM-00494</t>
  </si>
  <si>
    <t>BCM-00495</t>
  </si>
  <si>
    <t>BCM-00496</t>
  </si>
  <si>
    <t>BCM-00497</t>
  </si>
  <si>
    <t>BCM-00498</t>
  </si>
  <si>
    <t>BCM-00499</t>
  </si>
  <si>
    <t>BCM-00500</t>
  </si>
  <si>
    <t>BCM-00501</t>
  </si>
  <si>
    <t>BCM-00502</t>
  </si>
  <si>
    <t>BCM-00503</t>
  </si>
  <si>
    <t>BCM-00504</t>
  </si>
  <si>
    <t>BCM-00505</t>
  </si>
  <si>
    <t>BCM-00506</t>
  </si>
  <si>
    <t>BCM-00507</t>
  </si>
  <si>
    <t>BCM-00508</t>
  </si>
  <si>
    <t>BCM-00509</t>
  </si>
  <si>
    <t>BCM-00510</t>
  </si>
  <si>
    <t>BCM-00511</t>
  </si>
  <si>
    <t>BCM-00512</t>
  </si>
  <si>
    <t>BCM-00513</t>
  </si>
  <si>
    <t>BCM-00514</t>
  </si>
  <si>
    <t>BCM-00515</t>
  </si>
  <si>
    <t>BCM-00516</t>
  </si>
  <si>
    <t>BCM-00517</t>
  </si>
  <si>
    <t>BCM-00518</t>
  </si>
  <si>
    <t>BCM-00519</t>
  </si>
  <si>
    <t>BCM-00520</t>
  </si>
  <si>
    <t>BCM-00521</t>
  </si>
  <si>
    <t>BCM-00522</t>
  </si>
  <si>
    <t>BCM-00523</t>
  </si>
  <si>
    <t>BCM-00524</t>
  </si>
  <si>
    <t>BCM-00525</t>
  </si>
  <si>
    <t>BCM-00526</t>
  </si>
  <si>
    <t>BCM-00527</t>
  </si>
  <si>
    <t>BCM-00528</t>
  </si>
  <si>
    <t>BCM-00529</t>
  </si>
  <si>
    <t>BCM-00530</t>
  </si>
  <si>
    <t>BCM-00531</t>
  </si>
  <si>
    <t>BCM-00532</t>
  </si>
  <si>
    <t>BCM-00533</t>
  </si>
  <si>
    <t>BCM-00534</t>
  </si>
  <si>
    <t>BCM-00535</t>
  </si>
  <si>
    <t>BCM-00536</t>
  </si>
  <si>
    <t>BCM-00537</t>
  </si>
  <si>
    <t>BCM-00538</t>
  </si>
  <si>
    <t>BCM-00539</t>
  </si>
  <si>
    <t>BCM-00540</t>
  </si>
  <si>
    <t>BCM-00541</t>
  </si>
  <si>
    <t>BCM-00542</t>
  </si>
  <si>
    <t>BCM-00543</t>
  </si>
  <si>
    <t>BCM-00544</t>
  </si>
  <si>
    <t>BCM-00545</t>
  </si>
  <si>
    <t>BCM-00546</t>
  </si>
  <si>
    <t>BCM-00547</t>
  </si>
  <si>
    <t>BCM-00548</t>
  </si>
  <si>
    <t>BCM-00549</t>
  </si>
  <si>
    <t>BCM-00550</t>
  </si>
  <si>
    <t>BCM-00551</t>
  </si>
  <si>
    <t>BCM-00552</t>
  </si>
  <si>
    <t>BCM-00553</t>
  </si>
  <si>
    <t>BCM-00554</t>
  </si>
  <si>
    <t>BCM-00555</t>
  </si>
  <si>
    <t>BCM-00556</t>
  </si>
  <si>
    <t>BCM-00557</t>
  </si>
  <si>
    <t>BCM-00558</t>
  </si>
  <si>
    <t>BCM-00559</t>
  </si>
  <si>
    <t>BCM-00560</t>
  </si>
  <si>
    <t>BCM-00561</t>
  </si>
  <si>
    <t>BCM-00562</t>
  </si>
  <si>
    <t>BCM-00563</t>
  </si>
  <si>
    <t>BCM-00564</t>
  </si>
  <si>
    <t>BCM-00565</t>
  </si>
  <si>
    <t>BCM-00566</t>
  </si>
  <si>
    <t>BCM-00567</t>
  </si>
  <si>
    <t>BCM-00568</t>
  </si>
  <si>
    <t>BCM-00569</t>
  </si>
  <si>
    <t>BCM-00570</t>
  </si>
  <si>
    <t>BCM-00571</t>
  </si>
  <si>
    <t>BCM-00572</t>
  </si>
  <si>
    <t>Referência: PG-09</t>
  </si>
  <si>
    <t>BCM-00573</t>
  </si>
  <si>
    <t>BCM-00574</t>
  </si>
  <si>
    <t>BCM-00575</t>
  </si>
  <si>
    <t>BCM-00576</t>
  </si>
  <si>
    <t>BCM-00577</t>
  </si>
  <si>
    <t>BCM-00578</t>
  </si>
  <si>
    <t>BCM-00579</t>
  </si>
  <si>
    <t>BCM-00580</t>
  </si>
  <si>
    <t>BCM-00581</t>
  </si>
  <si>
    <t>BCM-00582</t>
  </si>
  <si>
    <t>BCM-00583</t>
  </si>
  <si>
    <t>BCM-00584</t>
  </si>
  <si>
    <t>BCM-00585</t>
  </si>
  <si>
    <t>BCM-00586</t>
  </si>
  <si>
    <t>BCM-00587</t>
  </si>
  <si>
    <t>BCM-00588</t>
  </si>
  <si>
    <t>BCM-00589</t>
  </si>
  <si>
    <t>BCM-00590</t>
  </si>
  <si>
    <t>BCM-00591</t>
  </si>
  <si>
    <t>BCM-00592</t>
  </si>
  <si>
    <t>BCM-00593</t>
  </si>
  <si>
    <t>BCM-00594</t>
  </si>
  <si>
    <t>BCM-00595</t>
  </si>
  <si>
    <t>BCM-00596</t>
  </si>
  <si>
    <t>Reg-BCM-038</t>
  </si>
  <si>
    <t>BCM-00597</t>
  </si>
  <si>
    <t>BCM-00598</t>
  </si>
  <si>
    <t>BCM-00599</t>
  </si>
  <si>
    <t>BCM-00600</t>
  </si>
  <si>
    <t>BCM-00601</t>
  </si>
  <si>
    <t>BCM-00602</t>
  </si>
  <si>
    <t>BCM-00603</t>
  </si>
  <si>
    <t>BCM-00604</t>
  </si>
  <si>
    <t>BCM-00605</t>
  </si>
  <si>
    <t>BCM-00606</t>
  </si>
  <si>
    <t>BCM-00607</t>
  </si>
  <si>
    <t>BCM-00608</t>
  </si>
  <si>
    <t>BCM-00609</t>
  </si>
  <si>
    <t>BCM-00610</t>
  </si>
  <si>
    <t>BCM-00611</t>
  </si>
  <si>
    <t>MODELO</t>
  </si>
  <si>
    <t>MARCA</t>
  </si>
  <si>
    <t>MONITOR</t>
  </si>
  <si>
    <t>SÉRGIO</t>
  </si>
  <si>
    <t>LG</t>
  </si>
  <si>
    <t>B2030N</t>
  </si>
  <si>
    <t>SAMSUNG</t>
  </si>
  <si>
    <t>LS20PUYKFMZD</t>
  </si>
  <si>
    <t>TECLADO</t>
  </si>
  <si>
    <t>N3 COMPUTER SMART KEYBOARD</t>
  </si>
  <si>
    <t>SMART</t>
  </si>
  <si>
    <t>P/N:KB-750/TEC.01.015</t>
  </si>
  <si>
    <t>MOUSE</t>
  </si>
  <si>
    <t>HP GARNING M260</t>
  </si>
  <si>
    <t>HP</t>
  </si>
  <si>
    <t>B1M260ELO3002172</t>
  </si>
  <si>
    <t>CALCULADORA PROCALC</t>
  </si>
  <si>
    <t>PR5000T</t>
  </si>
  <si>
    <t>PROCALC</t>
  </si>
  <si>
    <t>GABINETE</t>
  </si>
  <si>
    <t>SONY</t>
  </si>
  <si>
    <t>LG FLATRON E22411940S - PN</t>
  </si>
  <si>
    <t>1098PPB31416</t>
  </si>
  <si>
    <t>SONY MOD.WSCV 2151/2307</t>
  </si>
  <si>
    <t>GPDD0077LK006007</t>
  </si>
  <si>
    <t>HENRIQUE</t>
  </si>
  <si>
    <t>PHILIPS</t>
  </si>
  <si>
    <t>FX1A1145051338</t>
  </si>
  <si>
    <t xml:space="preserve">COMPUTADOR </t>
  </si>
  <si>
    <t xml:space="preserve">GABINETE </t>
  </si>
  <si>
    <t>GAMING MOUSE M160</t>
  </si>
  <si>
    <t>B9M160EL1105314</t>
  </si>
  <si>
    <t>WIRELESS KEYBOARD 3000 V2,0</t>
  </si>
  <si>
    <t>NOBREAK</t>
  </si>
  <si>
    <t>SMS</t>
  </si>
  <si>
    <t>FONE DE OUVIDO</t>
  </si>
  <si>
    <t>JBL</t>
  </si>
  <si>
    <t>CELULAR</t>
  </si>
  <si>
    <t>VERNE MODEL X</t>
  </si>
  <si>
    <t xml:space="preserve"> K605D1701230009954</t>
  </si>
  <si>
    <t>ALMOXARIFADO</t>
  </si>
  <si>
    <t>FLATRON W2043S</t>
  </si>
  <si>
    <t>FX3A1142053228</t>
  </si>
  <si>
    <t>COMPUTADOR</t>
  </si>
  <si>
    <t>GABINETE  GM06T7BN0C10N0X</t>
  </si>
  <si>
    <t>NT</t>
  </si>
  <si>
    <t>HARDLINE</t>
  </si>
  <si>
    <t xml:space="preserve">TECLADO </t>
  </si>
  <si>
    <t>N3</t>
  </si>
  <si>
    <t>KB750PS2623908267</t>
  </si>
  <si>
    <t xml:space="preserve">TELEFONE </t>
  </si>
  <si>
    <t>INTELBRAS PLENO</t>
  </si>
  <si>
    <t>TS SHARA</t>
  </si>
  <si>
    <t>22IEL</t>
  </si>
  <si>
    <t>FX1A1145051370</t>
  </si>
  <si>
    <t>MATX 130</t>
  </si>
  <si>
    <t>130GSX211001030</t>
  </si>
  <si>
    <t>M160</t>
  </si>
  <si>
    <t>PLENO</t>
  </si>
  <si>
    <t>STATION</t>
  </si>
  <si>
    <t>DELL</t>
  </si>
  <si>
    <t>CCAJ17LPA1F0T0</t>
  </si>
  <si>
    <t>WS568</t>
  </si>
  <si>
    <t>FLATRON E1940</t>
  </si>
  <si>
    <t>104SPGS0S775</t>
  </si>
  <si>
    <t>KARINA</t>
  </si>
  <si>
    <t>PCFORT</t>
  </si>
  <si>
    <t>CPU</t>
  </si>
  <si>
    <t>UPA 01.870</t>
  </si>
  <si>
    <t>VISION</t>
  </si>
  <si>
    <t>C3TECH</t>
  </si>
  <si>
    <t>GAMING MOUSE M260</t>
  </si>
  <si>
    <t>SM-J610G</t>
  </si>
  <si>
    <t>TELEFONE INTELBRAS</t>
  </si>
  <si>
    <t>TC500</t>
  </si>
  <si>
    <t>INTELBRAS</t>
  </si>
  <si>
    <t>TG10112600394</t>
  </si>
  <si>
    <t>LENOVO -MT - M 5/864 -BQ2  S/N L1BTZAA</t>
  </si>
  <si>
    <t>LENOVO</t>
  </si>
  <si>
    <t>IS5864BQ2L1BB0XC</t>
  </si>
  <si>
    <t xml:space="preserve">MONITOR </t>
  </si>
  <si>
    <t>PHILIPS 202EL</t>
  </si>
  <si>
    <t>FXA1145052621</t>
  </si>
  <si>
    <t xml:space="preserve">MOUSE </t>
  </si>
  <si>
    <t>DX -120 GM-150008 - GENIUS</t>
  </si>
  <si>
    <t>S/N: X6H93006902786</t>
  </si>
  <si>
    <t>165111181741</t>
  </si>
  <si>
    <t xml:space="preserve">MONITOR  </t>
  </si>
  <si>
    <t>PHILIPS 191EL</t>
  </si>
  <si>
    <t>GALAXY A02s</t>
  </si>
  <si>
    <t>R9XR602K8ML</t>
  </si>
  <si>
    <t>FX1A1121056399</t>
  </si>
  <si>
    <t>NOTEBOOK</t>
  </si>
  <si>
    <t>TOMÁS</t>
  </si>
  <si>
    <t xml:space="preserve">INSPIRON 5548 </t>
  </si>
  <si>
    <t>B6GRB92</t>
  </si>
  <si>
    <t xml:space="preserve">P2419H </t>
  </si>
  <si>
    <t>BR-01XCG2-TVB00-19L-3R7B-A10</t>
  </si>
  <si>
    <t>CN-0PRDV9-LO300-94H-OFEX</t>
  </si>
  <si>
    <t>GK-20BK C3</t>
  </si>
  <si>
    <t>TECH</t>
  </si>
  <si>
    <t>72029394003002900</t>
  </si>
  <si>
    <t>DOCKSTATION</t>
  </si>
  <si>
    <t xml:space="preserve">D600 </t>
  </si>
  <si>
    <t>M4TJG-CN-OM4TJG-BLK00-94K-64E3-A03</t>
  </si>
  <si>
    <t>HEADSET</t>
  </si>
  <si>
    <t>Quantum 100</t>
  </si>
  <si>
    <t>CM0073-HL0759749</t>
  </si>
  <si>
    <t>GUILHERME</t>
  </si>
  <si>
    <t xml:space="preserve">P2319H </t>
  </si>
  <si>
    <t>BR-0PDKON-TVB00-948-43BL-A04</t>
  </si>
  <si>
    <t xml:space="preserve">WD19S </t>
  </si>
  <si>
    <t>CN-04JXDM-CMC00-19M-1674-A00</t>
  </si>
  <si>
    <t>INSPIRON 15 P70F DELL</t>
  </si>
  <si>
    <t>7DMX9X2</t>
  </si>
  <si>
    <t>CN-09J99W-LO300-95R-0CHE-AO3</t>
  </si>
  <si>
    <t>MOUSE HP M260</t>
  </si>
  <si>
    <t>B1M260EL03002399</t>
  </si>
  <si>
    <t>CM0073-HL0755362</t>
  </si>
  <si>
    <t>VOSTRO 15 5510</t>
  </si>
  <si>
    <t>00355-60688-62735-AAOEM</t>
  </si>
  <si>
    <t>DOCK STATION</t>
  </si>
  <si>
    <t>MARCELO</t>
  </si>
  <si>
    <t>TELEFONE</t>
  </si>
  <si>
    <t>NKS</t>
  </si>
  <si>
    <t>TGK305</t>
  </si>
  <si>
    <t>RD20091100522</t>
  </si>
  <si>
    <t>WARRIOR</t>
  </si>
  <si>
    <t>M0267</t>
  </si>
  <si>
    <t>Y45KHX5W301777A</t>
  </si>
  <si>
    <t>Y45KHX5W303850X</t>
  </si>
  <si>
    <t>203T17814</t>
  </si>
  <si>
    <t>G413200101619</t>
  </si>
  <si>
    <t>TG10112600393</t>
  </si>
  <si>
    <t>POWEREST</t>
  </si>
  <si>
    <t>IMPRESSORA BROTHER</t>
  </si>
  <si>
    <t>GERAL</t>
  </si>
  <si>
    <t>DCP-8157DN</t>
  </si>
  <si>
    <t>BROTHER</t>
  </si>
  <si>
    <t>U63264M4N946888</t>
  </si>
  <si>
    <t>IMPRESSORA EPSON L3250</t>
  </si>
  <si>
    <t>C634H</t>
  </si>
  <si>
    <t>EPSON</t>
  </si>
  <si>
    <t>XAAB232223</t>
  </si>
  <si>
    <t>CABEÇOTE FURADOR HIDRÁULICO</t>
  </si>
  <si>
    <t>EDGARD</t>
  </si>
  <si>
    <t>GALPÃO</t>
  </si>
  <si>
    <t>LUKMA</t>
  </si>
  <si>
    <t>CABEÇOTE DE DOBRAR BARRA HIDRÁULICO</t>
  </si>
  <si>
    <t xml:space="preserve">CABEÇOTE DE CORTAR HIDRÁULICO </t>
  </si>
  <si>
    <t>UNIDADE HIDRÁULICA</t>
  </si>
  <si>
    <t>MORÇA DE BANCADA</t>
  </si>
  <si>
    <t>POLAR</t>
  </si>
  <si>
    <t>MORÇA DE FURADOR DE BANCADA</t>
  </si>
  <si>
    <t>SEM MARCA</t>
  </si>
  <si>
    <t>FURADOR DE BANCADA</t>
  </si>
  <si>
    <t>MOTO MIL</t>
  </si>
  <si>
    <t>SERRA MEIO ESQUADRIA</t>
  </si>
  <si>
    <t>MAKITA</t>
  </si>
  <si>
    <t>GUILHOTINA PARA TRILHO</t>
  </si>
  <si>
    <t>DOBRADEIRA HIDRÁULICA</t>
  </si>
  <si>
    <t>ASPIRADOR DE PÓ</t>
  </si>
  <si>
    <t>ELECTROLUX</t>
  </si>
  <si>
    <t>PLATAFORMA ELEVATÓRIA 800KG</t>
  </si>
  <si>
    <t>TRANSLIFT</t>
  </si>
  <si>
    <t>TRANSFORMADOR 220/380/440</t>
  </si>
  <si>
    <t>TRANSFORMADOR220/380/440</t>
  </si>
  <si>
    <t>VARA DE MANOBRA</t>
  </si>
  <si>
    <t>RITZ</t>
  </si>
  <si>
    <t>ATERRAMENTO TEMPORÁRIO</t>
  </si>
  <si>
    <t>MÁQUINA DE SOLDA</t>
  </si>
  <si>
    <t>ESAB</t>
  </si>
  <si>
    <t>LIXADEIRA 4 POLEGADAS</t>
  </si>
  <si>
    <t>MILWAUKEE</t>
  </si>
  <si>
    <t>BOSH</t>
  </si>
  <si>
    <t>LIXADEIRAS 4 POLEGADAS</t>
  </si>
  <si>
    <t>ALICATE DE CORTAR CABO GRANDE</t>
  </si>
  <si>
    <t>ARREBITADOR GRANDE</t>
  </si>
  <si>
    <t>SRC</t>
  </si>
  <si>
    <t>SOPRADOR AIR FREE</t>
  </si>
  <si>
    <t>SOPRADOR TÉRMICO</t>
  </si>
  <si>
    <t>SKIL</t>
  </si>
  <si>
    <t>VONDER</t>
  </si>
  <si>
    <t>MALETA DE SOQUETE DE 1/2</t>
  </si>
  <si>
    <t>CORNETA</t>
  </si>
  <si>
    <t>PRENSA TEMINAL HIDRÁULICA</t>
  </si>
  <si>
    <t>YQK</t>
  </si>
  <si>
    <t>MARTELETE</t>
  </si>
  <si>
    <t>FURADOR DE CHAPA HIDRÁULICO</t>
  </si>
  <si>
    <t>NAGANO</t>
  </si>
  <si>
    <t xml:space="preserve">MOTO ESMERIL </t>
  </si>
  <si>
    <t>SOMAR</t>
  </si>
  <si>
    <t>BRENO</t>
  </si>
  <si>
    <t xml:space="preserve">INSPIRON 5590 </t>
  </si>
  <si>
    <t>1R8NN33</t>
  </si>
  <si>
    <t xml:space="preserve">P2419HC </t>
  </si>
  <si>
    <t>725HF83</t>
  </si>
  <si>
    <t>7V9JF83</t>
  </si>
  <si>
    <t xml:space="preserve">D6000 </t>
  </si>
  <si>
    <t>M4TJG</t>
  </si>
  <si>
    <t>Station ST600BI</t>
  </si>
  <si>
    <t>MONITOR 22"</t>
  </si>
  <si>
    <t>BRUNO</t>
  </si>
  <si>
    <t>221EL2SB/78</t>
  </si>
  <si>
    <t>FX1A1145051483</t>
  </si>
  <si>
    <t>FX1A1145051502</t>
  </si>
  <si>
    <t>STRIKE X</t>
  </si>
  <si>
    <t>K31C0002M</t>
  </si>
  <si>
    <t>NOBREAK 600VA</t>
  </si>
  <si>
    <t>SMS STATION II ST600BI</t>
  </si>
  <si>
    <t>HEADSET JBL</t>
  </si>
  <si>
    <t>QUANTUM 100</t>
  </si>
  <si>
    <t>-</t>
  </si>
  <si>
    <t>WEBCAM</t>
  </si>
  <si>
    <t>LG AN-VC500</t>
  </si>
  <si>
    <t>502LKHT00193</t>
  </si>
  <si>
    <t>NUBIA NX591J</t>
  </si>
  <si>
    <t>A0000056B7F0C2</t>
  </si>
  <si>
    <t>TECLADO SEM FIO</t>
  </si>
  <si>
    <t>WK636p</t>
  </si>
  <si>
    <t>C-15073</t>
  </si>
  <si>
    <t>MOUSE SEM FIO</t>
  </si>
  <si>
    <t>LOGITECH M-510</t>
  </si>
  <si>
    <t>2048LZD06EL8</t>
  </si>
  <si>
    <t>HP PAVILION</t>
  </si>
  <si>
    <t>MOTOROLA</t>
  </si>
  <si>
    <t>4CA9356KCW</t>
  </si>
  <si>
    <t>PRENSA TERMINAL GRANDE</t>
  </si>
  <si>
    <t>GATEWAY</t>
  </si>
  <si>
    <t>NE56R22b</t>
  </si>
  <si>
    <t>NXY28AL012338308E89501</t>
  </si>
  <si>
    <t>FXAA1120054852</t>
  </si>
  <si>
    <t>MULTIMETRO</t>
  </si>
  <si>
    <t>FLUKE83</t>
  </si>
  <si>
    <t>FLUKE</t>
  </si>
  <si>
    <t>C1270411</t>
  </si>
  <si>
    <t>TESTADOR CABO DE REDE</t>
  </si>
  <si>
    <t>DETECTOR DE TENSAO POR APROXIMACAO</t>
  </si>
  <si>
    <t>DMU-25</t>
  </si>
  <si>
    <t>TORQUIMETRO</t>
  </si>
  <si>
    <t>GEDORE</t>
  </si>
  <si>
    <t>R68900100</t>
  </si>
  <si>
    <t>TRENA A LASAER</t>
  </si>
  <si>
    <t>BOSCH</t>
  </si>
  <si>
    <t>GLM30</t>
  </si>
  <si>
    <t>409 408590</t>
  </si>
  <si>
    <t>CAMERA TERMOGRAFICA</t>
  </si>
  <si>
    <t>FLIR</t>
  </si>
  <si>
    <t>C5</t>
  </si>
  <si>
    <t>89401-0202</t>
  </si>
  <si>
    <t>REDMI</t>
  </si>
  <si>
    <t>M2003J6A1G</t>
  </si>
  <si>
    <t>IMPRESSORA</t>
  </si>
  <si>
    <t>LASEJET M1212nfMFP</t>
  </si>
  <si>
    <t>BRGSD810FC</t>
  </si>
  <si>
    <t>LASERJETP1102W</t>
  </si>
  <si>
    <t>BRBSBCJ9T</t>
  </si>
  <si>
    <t>RADIO COMUNICADOR</t>
  </si>
  <si>
    <t>LAH65KDC9AA2ANS000</t>
  </si>
  <si>
    <t>018NNM4LTP</t>
  </si>
  <si>
    <t>018NPR494C</t>
  </si>
  <si>
    <t>018NPV43SG</t>
  </si>
  <si>
    <t>CLIMATIZADOR</t>
  </si>
  <si>
    <t>CLI70PRO</t>
  </si>
  <si>
    <t>VENTISOL</t>
  </si>
  <si>
    <t>GELADEIRA CONSUL FACILITE FROS FREE</t>
  </si>
  <si>
    <t>CBR36ABANA50</t>
  </si>
  <si>
    <t>JA3790271</t>
  </si>
  <si>
    <t>CONSUL</t>
  </si>
  <si>
    <t xml:space="preserve">MICROONDAS ELECTROLUX </t>
  </si>
  <si>
    <t>MEF41</t>
  </si>
  <si>
    <t>PURIFICADOR MAXIFILTER</t>
  </si>
  <si>
    <t>MAXICE</t>
  </si>
  <si>
    <t>MAXIFILTER</t>
  </si>
  <si>
    <t>ARMARIO COZINHA</t>
  </si>
  <si>
    <t>XT1925-3</t>
  </si>
  <si>
    <t>XPS</t>
  </si>
  <si>
    <t>1:7L10Y1</t>
  </si>
  <si>
    <t>SÁVIO</t>
  </si>
  <si>
    <t>INSPIRON 7580</t>
  </si>
  <si>
    <t>7DMV9X2</t>
  </si>
  <si>
    <t>HOME OFFICE</t>
  </si>
  <si>
    <t>D6000</t>
  </si>
  <si>
    <t>0M4TJG-BLK00-9AP-46VC-A04</t>
  </si>
  <si>
    <t>WK636T</t>
  </si>
  <si>
    <t>C-20960</t>
  </si>
  <si>
    <t>WM116T</t>
  </si>
  <si>
    <t>0J5J4H-LO300-89J-M0TI-A00</t>
  </si>
  <si>
    <t>HD EXTERNO ADATA  1 TB</t>
  </si>
  <si>
    <t>HV100</t>
  </si>
  <si>
    <t>1F2120108178</t>
  </si>
  <si>
    <t>MOCHILA DELL</t>
  </si>
  <si>
    <t>SMARTPHONE</t>
  </si>
  <si>
    <t>GALAXY A52</t>
  </si>
  <si>
    <t>RX8T20978YD</t>
  </si>
  <si>
    <t>MTR 1520</t>
  </si>
  <si>
    <t>MTD 20KWe</t>
  </si>
  <si>
    <t>MI 2551</t>
  </si>
  <si>
    <t>MD 5060X</t>
  </si>
  <si>
    <t>HOMIS</t>
  </si>
  <si>
    <t>MINIPA</t>
  </si>
  <si>
    <t>MEGABRAS</t>
  </si>
  <si>
    <t>54991623MV</t>
  </si>
  <si>
    <t>OL 7205 I</t>
  </si>
  <si>
    <t>MC4165 C</t>
  </si>
  <si>
    <t xml:space="preserve">ALICATE AMPERÍMETRO
</t>
  </si>
  <si>
    <t xml:space="preserve">TERROMETRO
</t>
  </si>
  <si>
    <t xml:space="preserve">TERROMETRO DIGITAL
</t>
  </si>
  <si>
    <t xml:space="preserve">MEGOMETRO
</t>
  </si>
  <si>
    <t xml:space="preserve">MEGOMETRO DIGITAL
</t>
  </si>
  <si>
    <t>CALIBRADOR MULTIFUNÇÃO</t>
  </si>
  <si>
    <t>RELÓGIO TERMO-HIGRÔMETRO</t>
  </si>
  <si>
    <t>MT-241</t>
  </si>
  <si>
    <t>MONITOR CONCORDIA INFORMATICA</t>
  </si>
  <si>
    <t>CONCORDIA 23.8"</t>
  </si>
  <si>
    <t>H238F75</t>
  </si>
  <si>
    <t>OWH238F752304080311</t>
  </si>
  <si>
    <t>OWH238F752304080244</t>
  </si>
  <si>
    <t>TORQUÍMETRO DE ESTALO</t>
  </si>
  <si>
    <t>KD230102059</t>
  </si>
  <si>
    <t>ALMOXARIFADO 2</t>
  </si>
  <si>
    <t>166936-901</t>
  </si>
  <si>
    <t>VEEDER ROOT</t>
  </si>
  <si>
    <t>REGISTRADOR DIGITAL(ANALISADOR)</t>
  </si>
  <si>
    <t>MARH-21</t>
  </si>
  <si>
    <t>RMS</t>
  </si>
  <si>
    <t>FLAVIANE</t>
  </si>
  <si>
    <t>MOTO E 22</t>
  </si>
  <si>
    <t>08786-20-00330</t>
  </si>
  <si>
    <t>LUIZ</t>
  </si>
  <si>
    <t>KIT MOUSE E TECLADO</t>
  </si>
  <si>
    <t>MK235</t>
  </si>
  <si>
    <t>LOGITECH</t>
  </si>
  <si>
    <t>2334CE40F8A9</t>
  </si>
  <si>
    <t>2234CE40F9B9</t>
  </si>
  <si>
    <t>2334CE40FD09</t>
  </si>
  <si>
    <t>2334CE40FE09</t>
  </si>
  <si>
    <t>G15-5530</t>
  </si>
  <si>
    <t>116WH04</t>
  </si>
  <si>
    <t>316WH04</t>
  </si>
  <si>
    <t xml:space="preserve">NOTEBOOK </t>
  </si>
  <si>
    <t xml:space="preserve">BRUNO </t>
  </si>
  <si>
    <t>216WH04</t>
  </si>
  <si>
    <t>416WH04</t>
  </si>
  <si>
    <t>2336CE2E3DA9</t>
  </si>
  <si>
    <t>2336CE2E3D99</t>
  </si>
  <si>
    <t>HP M260</t>
  </si>
  <si>
    <t>B1M260EL03002166</t>
  </si>
  <si>
    <t>JNG</t>
  </si>
  <si>
    <t>FONTE 24V 4,5A (PARA TESTES)</t>
  </si>
  <si>
    <t>MÁRCIO</t>
  </si>
  <si>
    <t>FERRAMENTA GALPÃO</t>
  </si>
  <si>
    <t>ESCRITÓRIO GALPÃO</t>
  </si>
  <si>
    <t>ESCRITÓRIO ENGENHARIA</t>
  </si>
  <si>
    <t>COZINHA</t>
  </si>
  <si>
    <t>BOMBA MANUAL (PRENSA HIDRÁULICA)</t>
  </si>
  <si>
    <t>HID.LK-SY-8B</t>
  </si>
  <si>
    <t>CONTAMETRO (MÁQUINA DE MEDIR CABOS)</t>
  </si>
  <si>
    <t>MÁQUINA DE MEDIR FIOS/CABOS</t>
  </si>
  <si>
    <t>ERBRA</t>
  </si>
  <si>
    <t>000.925/OUTUBRO DE 2023</t>
  </si>
  <si>
    <t>ERBRAI FIO ESPECIAL</t>
  </si>
  <si>
    <t>EDUARDO</t>
  </si>
  <si>
    <t>SOPRADOR</t>
  </si>
  <si>
    <t>UB1103</t>
  </si>
  <si>
    <t>BPE - 300</t>
  </si>
  <si>
    <t>GDX</t>
  </si>
  <si>
    <t>OTIMO</t>
  </si>
  <si>
    <t>M422100009</t>
  </si>
  <si>
    <t xml:space="preserve">PARAFUSADEIRA </t>
  </si>
  <si>
    <t>HP1640</t>
  </si>
  <si>
    <t>FABRICANTE</t>
  </si>
  <si>
    <t>PEN DRIVE</t>
  </si>
  <si>
    <t>64 GB</t>
  </si>
  <si>
    <t>KINGSTON</t>
  </si>
  <si>
    <t>MICRO SD</t>
  </si>
  <si>
    <t>ESTOQUE</t>
  </si>
  <si>
    <t>ESCRITÓRIO ADM</t>
  </si>
  <si>
    <t>16 GB</t>
  </si>
  <si>
    <t>SAN DISK</t>
  </si>
  <si>
    <t>MICRO ONDAS</t>
  </si>
  <si>
    <t xml:space="preserve">GALPÃO </t>
  </si>
  <si>
    <t xml:space="preserve">CONSUL </t>
  </si>
  <si>
    <t>CMS46ABANA</t>
  </si>
  <si>
    <t>MM3281843</t>
  </si>
  <si>
    <t>STAINLESS HARDENED</t>
  </si>
  <si>
    <t>MTX</t>
  </si>
  <si>
    <t>PAQUÍMETRO DIGITAL CALIPER</t>
  </si>
  <si>
    <t>ÓTIMO</t>
  </si>
  <si>
    <t>CHAVE DE FENDA 5/16 X 8</t>
  </si>
  <si>
    <t>TRAMONTINA</t>
  </si>
  <si>
    <t>CHAVE DE FENDA 1/8 X 3</t>
  </si>
  <si>
    <t>1/8 X 3</t>
  </si>
  <si>
    <t xml:space="preserve"> 5/16 X 8</t>
  </si>
  <si>
    <t>CHAVE DE FENDA 1/8 X 6</t>
  </si>
  <si>
    <t>1/8 X 6</t>
  </si>
  <si>
    <t>CHAVE DE FENDA 3/16 X 6</t>
  </si>
  <si>
    <t>3/16 X 6</t>
  </si>
  <si>
    <t>CHAVE PHILIPS 3/16 X 6</t>
  </si>
  <si>
    <t>CHAVE PHILIPS 1/8 X 6</t>
  </si>
  <si>
    <t>CHAVE PHILIPS 5/16 X 8</t>
  </si>
  <si>
    <t>5/16 X 8</t>
  </si>
  <si>
    <t>CHAVE CANHÃO 11</t>
  </si>
  <si>
    <t>CHAVE CANHÃO 13</t>
  </si>
  <si>
    <t>CHAVE CANHÃO 10</t>
  </si>
  <si>
    <t>CHAVE CANHÃO 6</t>
  </si>
  <si>
    <t>11 MM</t>
  </si>
  <si>
    <t>13 MM</t>
  </si>
  <si>
    <t>10 MM</t>
  </si>
  <si>
    <t>6 MM</t>
  </si>
  <si>
    <t>CHAVE CANHÃO 8</t>
  </si>
  <si>
    <t>8 MM</t>
  </si>
  <si>
    <t>CHAVE CANHÃO 7</t>
  </si>
  <si>
    <t>7 MM</t>
  </si>
  <si>
    <t>ALICATE CORTE DIAGONAL</t>
  </si>
  <si>
    <t>6 "</t>
  </si>
  <si>
    <t>ALICATE UNIVERSAL</t>
  </si>
  <si>
    <t>8"</t>
  </si>
  <si>
    <t xml:space="preserve">CHAVE AJUSTÁVEL </t>
  </si>
  <si>
    <t>ALICATE BICO MEIA CANA</t>
  </si>
  <si>
    <t>6"</t>
  </si>
  <si>
    <t>FACA RETA DESENCAPADORA</t>
  </si>
  <si>
    <t>44345/007</t>
  </si>
  <si>
    <t>233050 - 703</t>
  </si>
  <si>
    <t>TE-CD 18-2 LI-I 2B</t>
  </si>
  <si>
    <t>EINHELL</t>
  </si>
  <si>
    <t>490YFBN</t>
  </si>
  <si>
    <t>ALICATE CRIMPAR</t>
  </si>
  <si>
    <t>BM347</t>
  </si>
  <si>
    <t>B-MAX</t>
  </si>
  <si>
    <t>MONITOR 24"</t>
  </si>
  <si>
    <t>ENGENHARIA</t>
  </si>
  <si>
    <t>2403 - LED</t>
  </si>
  <si>
    <t>3 GREEN</t>
  </si>
  <si>
    <t>LINDEMBERG</t>
  </si>
  <si>
    <t xml:space="preserve">5 GAVETAS </t>
  </si>
  <si>
    <t xml:space="preserve">REGULAR </t>
  </si>
  <si>
    <t xml:space="preserve">ALICATE PRENSA TREMIAL </t>
  </si>
  <si>
    <t>0,5 - 0,16MM</t>
  </si>
  <si>
    <t>LS-0516GF</t>
  </si>
  <si>
    <t>BELZER</t>
  </si>
  <si>
    <t xml:space="preserve"> MANUKS </t>
  </si>
  <si>
    <t>219022-1BBR</t>
  </si>
  <si>
    <t>TRAMONTINA PRO</t>
  </si>
  <si>
    <t xml:space="preserve">ÓTIMO </t>
  </si>
  <si>
    <t xml:space="preserve">CHAVE DE FENDA </t>
  </si>
  <si>
    <t>1/8x6</t>
  </si>
  <si>
    <t xml:space="preserve">GEDORE </t>
  </si>
  <si>
    <t xml:space="preserve">CHAVE PHILLIPS </t>
  </si>
  <si>
    <t xml:space="preserve">TRENA EMBORRACHADA </t>
  </si>
  <si>
    <t xml:space="preserve">5 MTS </t>
  </si>
  <si>
    <t>AQUA TOOLS</t>
  </si>
  <si>
    <t xml:space="preserve">NÍVEL DE MÃO </t>
  </si>
  <si>
    <t xml:space="preserve">COM IMÃ </t>
  </si>
  <si>
    <t>FERTAK TOOLS</t>
  </si>
  <si>
    <t xml:space="preserve">FURADEIRA DE IMPACTO </t>
  </si>
  <si>
    <t>DWD502</t>
  </si>
  <si>
    <t xml:space="preserve">DEWALT </t>
  </si>
  <si>
    <t>ELIOENAI</t>
  </si>
  <si>
    <t>3/16X6</t>
  </si>
  <si>
    <t>5/16X6</t>
  </si>
  <si>
    <t>1/4X6</t>
  </si>
  <si>
    <t>3/16X4</t>
  </si>
  <si>
    <t xml:space="preserve">ESTILETE </t>
  </si>
  <si>
    <t>AUTO LOCK</t>
  </si>
  <si>
    <t>CARBOGRAFITE</t>
  </si>
  <si>
    <t xml:space="preserve">VIRA MACHO </t>
  </si>
  <si>
    <t>N° 1</t>
  </si>
  <si>
    <t>ADES</t>
  </si>
  <si>
    <t xml:space="preserve">ALICATE AMPERÍMETRO DIGITAL
</t>
  </si>
  <si>
    <t>ET-3200</t>
  </si>
  <si>
    <t>ESQUADRO NÍVEL</t>
  </si>
  <si>
    <t>12 POL -300MM</t>
  </si>
  <si>
    <t>GORILLAZ</t>
  </si>
  <si>
    <t>BOM</t>
  </si>
  <si>
    <t>LK-04W</t>
  </si>
  <si>
    <t>FOXLUX</t>
  </si>
  <si>
    <t>84-223</t>
  </si>
  <si>
    <t>STANLEY</t>
  </si>
  <si>
    <t>CENFER</t>
  </si>
  <si>
    <t>LIMA CHATA</t>
  </si>
  <si>
    <t>HÁ-266</t>
  </si>
  <si>
    <t>HIKARI</t>
  </si>
  <si>
    <t>W1/16-1/2</t>
  </si>
  <si>
    <t>ESCRITÓRIO RH</t>
  </si>
  <si>
    <t xml:space="preserve">ALICATE DECAPAR </t>
  </si>
  <si>
    <t>CR02-B</t>
  </si>
  <si>
    <t>CRIMPER</t>
  </si>
  <si>
    <t>1/8X6</t>
  </si>
  <si>
    <t>ESMERILHADEIRA</t>
  </si>
  <si>
    <t>BLACK + DECKER</t>
  </si>
  <si>
    <t>2023 02-HF</t>
  </si>
  <si>
    <t>T35F</t>
  </si>
  <si>
    <t>SANSUNG</t>
  </si>
  <si>
    <t>PEDRO</t>
  </si>
  <si>
    <t>LEANDRO</t>
  </si>
  <si>
    <t>SMARTPHONE REDMI NOTE 13 PRO</t>
  </si>
  <si>
    <t>8 RAM - 256 GB</t>
  </si>
  <si>
    <t>XIAOMI</t>
  </si>
  <si>
    <t>WPLN4137</t>
  </si>
  <si>
    <t>ESC0062</t>
  </si>
  <si>
    <t>ESCADA DE ALUMÍNIO  3 DEGRAUS</t>
  </si>
  <si>
    <t>ESCADA DE ALUMÍNIO  4 DEGRAUS</t>
  </si>
  <si>
    <t>ESC 0063</t>
  </si>
  <si>
    <t>BTF</t>
  </si>
  <si>
    <t>RUIM</t>
  </si>
  <si>
    <t>DESCARTADO</t>
  </si>
  <si>
    <t xml:space="preserve">HENRIQUE </t>
  </si>
  <si>
    <t>M-R0060</t>
  </si>
  <si>
    <t>Y-R0036</t>
  </si>
  <si>
    <t xml:space="preserve">ESCADA DE ALUMINIO 4 DEGRAUS </t>
  </si>
  <si>
    <t>REAL</t>
  </si>
  <si>
    <t>CALIBRADOR GERADOR DE SINAL</t>
  </si>
  <si>
    <t>SG-003A</t>
  </si>
  <si>
    <t>FNIRSI</t>
  </si>
  <si>
    <t>NO24061792</t>
  </si>
  <si>
    <t>TORQUE WRENCH</t>
  </si>
  <si>
    <t>QS 30</t>
  </si>
  <si>
    <t>TORQUÍMETRO 2mm A 24mm</t>
  </si>
  <si>
    <t>MÁQUINA DE CONTAR CÉDULAS</t>
  </si>
  <si>
    <t>BC2088</t>
  </si>
  <si>
    <t>C E ROHS</t>
  </si>
  <si>
    <t>G650-B2</t>
  </si>
  <si>
    <t xml:space="preserve">SWITCH DE MESA COM 8 PORTAS </t>
  </si>
  <si>
    <t>TP-LINK</t>
  </si>
  <si>
    <t>LS1008G</t>
  </si>
  <si>
    <t>223C2A2004102</t>
  </si>
  <si>
    <t>223C2A2000124</t>
  </si>
  <si>
    <t>223C2A2004116</t>
  </si>
  <si>
    <t>223C2A2000870</t>
  </si>
  <si>
    <t>ADAPTADOR USB RJ45</t>
  </si>
  <si>
    <t xml:space="preserve">GUILHERME </t>
  </si>
  <si>
    <t>UE300C</t>
  </si>
  <si>
    <t>22434W9000521</t>
  </si>
  <si>
    <t>22371M1006847</t>
  </si>
  <si>
    <t>.2239681005094</t>
  </si>
  <si>
    <t>.223968106811</t>
  </si>
  <si>
    <t>.2239681006514</t>
  </si>
  <si>
    <t>.2239681005380</t>
  </si>
  <si>
    <t>DNI 4289</t>
  </si>
  <si>
    <t>DNI AUTOMATIVE</t>
  </si>
  <si>
    <t>GIROFLEX 24 V</t>
  </si>
  <si>
    <t>H21</t>
  </si>
  <si>
    <t>MÁQUINA DE LAVAR CHÃO</t>
  </si>
  <si>
    <t>K3.30</t>
  </si>
  <si>
    <t>KARCHER</t>
  </si>
  <si>
    <t>F24T350FH</t>
  </si>
  <si>
    <t>F24T350FHLMZD</t>
  </si>
  <si>
    <t>IGOR</t>
  </si>
  <si>
    <t>IMPRESSORA ZD230</t>
  </si>
  <si>
    <t>ZD230</t>
  </si>
  <si>
    <t>ZEBRA</t>
  </si>
  <si>
    <t>202EL2SB/78</t>
  </si>
  <si>
    <t>KB1-2BK</t>
  </si>
  <si>
    <t>TELEFONE INTERFONE</t>
  </si>
  <si>
    <t>TS 5121</t>
  </si>
  <si>
    <t>U15L5202076BO</t>
  </si>
  <si>
    <t xml:space="preserve">SWITCH </t>
  </si>
  <si>
    <t>TPLINK</t>
  </si>
  <si>
    <t xml:space="preserve">ESTABILIZADOR </t>
  </si>
  <si>
    <t>ASUS VIVOBOOK</t>
  </si>
  <si>
    <t>INTEL I5</t>
  </si>
  <si>
    <t>DOOCK STATION</t>
  </si>
  <si>
    <t>DELL 6000</t>
  </si>
  <si>
    <t>24MI450028303</t>
  </si>
  <si>
    <t>BEBEDOURO</t>
  </si>
  <si>
    <t>PLATINUM NEW</t>
  </si>
  <si>
    <t>TOPLIFE</t>
  </si>
  <si>
    <t>GELADEIRA PANASONIC</t>
  </si>
  <si>
    <t>FROST FREE</t>
  </si>
  <si>
    <t>PANASONIC</t>
  </si>
  <si>
    <t xml:space="preserve">GELADEIRA ELETROLUX </t>
  </si>
  <si>
    <t>ELETROLUX</t>
  </si>
  <si>
    <t xml:space="preserve">IMPRESSORA </t>
  </si>
  <si>
    <t>BPE 300</t>
  </si>
  <si>
    <t>ELESYS</t>
  </si>
  <si>
    <t>M90</t>
  </si>
  <si>
    <t>KEY-669</t>
  </si>
  <si>
    <t>PCTOP</t>
  </si>
  <si>
    <t xml:space="preserve">MONTOR </t>
  </si>
  <si>
    <t>T89MMSNO6W ALONE</t>
  </si>
  <si>
    <t>AOC</t>
  </si>
  <si>
    <t>HUB USB HDMI</t>
  </si>
  <si>
    <t>BASEUS</t>
  </si>
  <si>
    <t xml:space="preserve">ESCRITÓRIO ENGENHARIA </t>
  </si>
  <si>
    <t>CONECTOR HDMI</t>
  </si>
  <si>
    <t>KAPBCM</t>
  </si>
  <si>
    <t>OBSERVAÇÃO</t>
  </si>
  <si>
    <t>DEVOLVIDO</t>
  </si>
  <si>
    <t>TROCA DE PATRIMONIO</t>
  </si>
  <si>
    <t>GWS 7-115</t>
  </si>
  <si>
    <t>GWS 8-115</t>
  </si>
  <si>
    <t>PA6-GF30</t>
  </si>
  <si>
    <t xml:space="preserve">FURADEIRA </t>
  </si>
  <si>
    <t>PA6-GF35+SEBS</t>
  </si>
  <si>
    <t>ALICATE STRIPAX P/CORTAR E DECAPAR</t>
  </si>
  <si>
    <t>STRIPAX</t>
  </si>
  <si>
    <t>WEIDMULLER</t>
  </si>
  <si>
    <t>JOSÉ</t>
  </si>
  <si>
    <t>DANILO</t>
  </si>
  <si>
    <t xml:space="preserve">BOLSA FERRAMENTAS 18 POL 32 BOLSOS VERMELHO </t>
  </si>
  <si>
    <t>460X280X305</t>
  </si>
  <si>
    <t xml:space="preserve">AFIADOR DE BROCAS 3-10MM </t>
  </si>
  <si>
    <t>95W 220V  AMARELO</t>
  </si>
  <si>
    <t>ABV0952403007</t>
  </si>
  <si>
    <t>GUILHOTINA CORTADOR DE PAPEL A4</t>
  </si>
  <si>
    <t>TUDOPRAFOTO</t>
  </si>
  <si>
    <t>PAPEL A4</t>
  </si>
  <si>
    <t>LATITUDE 3550</t>
  </si>
  <si>
    <t>P170G003</t>
  </si>
  <si>
    <t>ALICATE PRENSA TERMINAL</t>
  </si>
  <si>
    <t>VENDIDO PARA O LINDEMBERG</t>
  </si>
  <si>
    <t>FERRAMENTA FOI PERDIDA, ELIOENAI FEZ A REPOSIÇÃO COM UMA TRENA NOVA DE PATRIMÔNIO 353.</t>
  </si>
  <si>
    <t>FERRAMENTA FOI PERDIDA, ELIOENAI FEZ A REPOSIÇÃO COM UMA TRENA NOVA DE PATRIMÔNIO 354.</t>
  </si>
  <si>
    <t>ALICATE SMARTWIRE - DT</t>
  </si>
  <si>
    <t>519586-8</t>
  </si>
  <si>
    <t>ARQUIVO MORTO</t>
  </si>
  <si>
    <t>MILLI-OHMÍMETRO DIGITAL</t>
  </si>
  <si>
    <t>MILLIOHM 1</t>
  </si>
  <si>
    <t>INSTRUM</t>
  </si>
  <si>
    <t>MP 0025</t>
  </si>
  <si>
    <t>CAIXA DE FERRAMENTAS COMPLETA</t>
  </si>
  <si>
    <t>COMPLETA</t>
  </si>
  <si>
    <t>TV BOX</t>
  </si>
  <si>
    <t>RECEPÇÃO</t>
  </si>
  <si>
    <t>STV-3000PLUS</t>
  </si>
  <si>
    <t>AQUÁRIO</t>
  </si>
  <si>
    <t>SERRA COPO</t>
  </si>
  <si>
    <t>110 MM</t>
  </si>
  <si>
    <t>LR SUPER ABRASIVOS</t>
  </si>
  <si>
    <t>IMPRESSORA DE ETIQUETAS PORTÁTIL</t>
  </si>
  <si>
    <t>PT-M95</t>
  </si>
  <si>
    <t>FRM-ACN702</t>
  </si>
  <si>
    <t>ALICATE EZ CRIMP CAT 7 MULTIFUNÇÃO 2 EM 1</t>
  </si>
  <si>
    <t>EXBOM</t>
  </si>
  <si>
    <t>TESTADOR DE CABO DE REDE RJ45+RJ11</t>
  </si>
  <si>
    <t>FEPRO-TR270</t>
  </si>
  <si>
    <t>DUPLICADO</t>
  </si>
  <si>
    <t>243V5QHABA/57</t>
  </si>
  <si>
    <t>AF0A1739052077</t>
  </si>
  <si>
    <t>QUEBROU</t>
  </si>
  <si>
    <t>VENDIDO PARA IGOR</t>
  </si>
  <si>
    <t>ITEM BRENO</t>
  </si>
  <si>
    <t>ACV300</t>
  </si>
  <si>
    <t xml:space="preserve">AIR FRYER </t>
  </si>
  <si>
    <t>MONDIAL</t>
  </si>
  <si>
    <t>AFON-12L-BI</t>
  </si>
  <si>
    <t>24625147-0424</t>
  </si>
  <si>
    <t xml:space="preserve">MISTEIRA </t>
  </si>
  <si>
    <t>COIBEL</t>
  </si>
  <si>
    <t>JGD-HF219</t>
  </si>
  <si>
    <t>COZINHA GALPÃO</t>
  </si>
  <si>
    <t>ADAPTADOR DISPLAYPORT P/VGA</t>
  </si>
  <si>
    <t>ASTECH</t>
  </si>
  <si>
    <t>V002409</t>
  </si>
  <si>
    <t>CLAUDIO M.</t>
  </si>
  <si>
    <t>ESTRAGADO</t>
  </si>
  <si>
    <t>GERADOR SINAIS CALIBRADOR PORTATIL SG-004A</t>
  </si>
  <si>
    <t>SG-004A</t>
  </si>
  <si>
    <t>REDMI NOTE 14S</t>
  </si>
  <si>
    <t>CELULAR - 8GB RAM - 256GB</t>
  </si>
  <si>
    <t>2502FRA65G</t>
  </si>
  <si>
    <t>BTT1200</t>
  </si>
  <si>
    <t>THE BLACK TOOLS</t>
  </si>
  <si>
    <t>AIR FRYER FORNO</t>
  </si>
  <si>
    <t>AI551</t>
  </si>
  <si>
    <t>M170</t>
  </si>
  <si>
    <t>810-010445</t>
  </si>
  <si>
    <t xml:space="preserve">PEDRO </t>
  </si>
  <si>
    <t>GALAXY A17</t>
  </si>
  <si>
    <t>SM-A175F/DS</t>
  </si>
  <si>
    <t>HUB DE ESTRATÉGIA E GESTÃO</t>
  </si>
  <si>
    <t xml:space="preserve">CELULAR - 8GB RAM - 256GB </t>
  </si>
  <si>
    <t>CELULAR - 8GB RAM  - 256GB</t>
  </si>
  <si>
    <t>REDMI 15</t>
  </si>
  <si>
    <t>25062RN2DL</t>
  </si>
  <si>
    <t xml:space="preserve">KIT MOUSE E TECLADO </t>
  </si>
  <si>
    <t>2537CE01WW89</t>
  </si>
  <si>
    <t>QUANTUM 100 M2</t>
  </si>
  <si>
    <t>20M37AA</t>
  </si>
  <si>
    <t>911SPWQ1F425</t>
  </si>
  <si>
    <t>PE9015C28113</t>
  </si>
  <si>
    <t>83NS0001BR</t>
  </si>
  <si>
    <t>CASA MARCELO</t>
  </si>
  <si>
    <t>PE9015929328</t>
  </si>
  <si>
    <t>MIGUEL</t>
  </si>
  <si>
    <t>CADEIRA ERGONOMICA</t>
  </si>
  <si>
    <t>COMFY</t>
  </si>
  <si>
    <t xml:space="preserve">CAPASITOR </t>
  </si>
  <si>
    <t>TELEVISÃO</t>
  </si>
  <si>
    <t xml:space="preserve">CAFETEIRA </t>
  </si>
  <si>
    <t>FRIGOBAR</t>
  </si>
  <si>
    <t>BRASTEMP</t>
  </si>
  <si>
    <t>ENERGIA</t>
  </si>
  <si>
    <t>CONEXÃO</t>
  </si>
  <si>
    <t xml:space="preserve">ALEXA </t>
  </si>
  <si>
    <t>ECHO DOT</t>
  </si>
  <si>
    <t>AMAZON</t>
  </si>
  <si>
    <t>EOS</t>
  </si>
  <si>
    <t>LÓGICA</t>
  </si>
  <si>
    <t>PC FORT</t>
  </si>
  <si>
    <t>T2422</t>
  </si>
  <si>
    <t>HUB 13 EM 1</t>
  </si>
  <si>
    <t>BS0H119</t>
  </si>
  <si>
    <t>DS0H101</t>
  </si>
  <si>
    <t>HUB 8 EM 1</t>
  </si>
  <si>
    <t>FURADOR DE PAPEL</t>
  </si>
  <si>
    <t>EXCENTRIX</t>
  </si>
  <si>
    <t>DCP-L5652DN</t>
  </si>
  <si>
    <t>CES000211M</t>
  </si>
  <si>
    <t>TRÊS CORAÇÕES</t>
  </si>
  <si>
    <t>MOVESCAN</t>
  </si>
  <si>
    <t>SUPER OFFICE</t>
  </si>
  <si>
    <t>BRA08HEANA</t>
  </si>
  <si>
    <t>B206957</t>
  </si>
  <si>
    <t>U8600F</t>
  </si>
  <si>
    <t>RECARGA</t>
  </si>
  <si>
    <t>S24 MIMO</t>
  </si>
  <si>
    <t>S240001</t>
  </si>
  <si>
    <t xml:space="preserve">PATRIMÔNIO DESCARTADO </t>
  </si>
  <si>
    <t>YQK-300</t>
  </si>
  <si>
    <t>PRENSA HIDRÁULICO</t>
  </si>
  <si>
    <t>ESMERILHADEIRA ANGULAR</t>
  </si>
  <si>
    <t>ES230-2000PRO</t>
  </si>
  <si>
    <t>FERRARI</t>
  </si>
  <si>
    <t>QUARTINHO RECEPÇÃO</t>
  </si>
  <si>
    <t xml:space="preserve">BALANÇA </t>
  </si>
  <si>
    <t>QUICK-33</t>
  </si>
  <si>
    <t>BALMAK QUICK</t>
  </si>
  <si>
    <t>HUB DE ENGENHARIA E INOVAÇÃO</t>
  </si>
  <si>
    <t>9CEBE8D1B8CC</t>
  </si>
  <si>
    <t>CONTROLE - GALPÃO</t>
  </si>
  <si>
    <t xml:space="preserve">MÁQUINA DE PONTOS </t>
  </si>
  <si>
    <t>C900</t>
  </si>
  <si>
    <t>CÉU</t>
  </si>
  <si>
    <t>POTOP</t>
  </si>
  <si>
    <t>TCPRO2-USB</t>
  </si>
  <si>
    <t xml:space="preserve">GANCHO HIDRAULICO </t>
  </si>
  <si>
    <t xml:space="preserve">2000KG </t>
  </si>
  <si>
    <t xml:space="preserve">SEM MARCA </t>
  </si>
  <si>
    <t xml:space="preserve">PALETEIRA </t>
  </si>
  <si>
    <t>TM2500</t>
  </si>
  <si>
    <t>TRANSPALETE</t>
  </si>
  <si>
    <t xml:space="preserve">IGOR </t>
  </si>
  <si>
    <t>D6000S</t>
  </si>
  <si>
    <t>QUARTINHO COZINHA - GALPÃO</t>
  </si>
  <si>
    <t>0C3796511EBB</t>
  </si>
  <si>
    <t xml:space="preserve">MAQUINA DOBRADEIRA BARRAMENTO DERIVAÇÃO </t>
  </si>
  <si>
    <t>BCM - PRODUÇÃO</t>
  </si>
  <si>
    <t xml:space="preserve">ALMOXARIFADO </t>
  </si>
  <si>
    <t>SF 800 VLAN</t>
  </si>
  <si>
    <t>638J0706898WX</t>
  </si>
  <si>
    <t>BCM - ADM</t>
  </si>
  <si>
    <t>VINÍCIUS</t>
  </si>
  <si>
    <t>MÁRCIO O.</t>
  </si>
  <si>
    <t>LAUDIVANO</t>
  </si>
  <si>
    <t>CAIXA DE FERRAMENTAS SEMI COMPLETA</t>
  </si>
  <si>
    <t>CADEIRA ALLEGRA NUDE</t>
  </si>
  <si>
    <t>FD2110NU</t>
  </si>
  <si>
    <t>ÁREA DE ESPERA - ESCADA</t>
  </si>
  <si>
    <t xml:space="preserve">LUIZ </t>
  </si>
  <si>
    <t>FONTE CHAVEADA 100W 24VCC - 100/240VCA - 4,5A</t>
  </si>
  <si>
    <t>ABL2REM24045K</t>
  </si>
  <si>
    <t>SCHNEIDER</t>
  </si>
  <si>
    <t xml:space="preserve">DANILO </t>
  </si>
  <si>
    <t>REGULAR</t>
  </si>
  <si>
    <t>INSTANLEI</t>
  </si>
  <si>
    <t xml:space="preserve">MÁRCIO </t>
  </si>
  <si>
    <t>FERCAR</t>
  </si>
  <si>
    <t xml:space="preserve"> </t>
  </si>
  <si>
    <t>HUB ESTRATÉGIA E GESTÃO</t>
  </si>
  <si>
    <t>TELEFONE COM FIO PLENO</t>
  </si>
  <si>
    <t>NZRA17932</t>
  </si>
  <si>
    <t>BEB0007368922</t>
  </si>
  <si>
    <t>BAE0007370035</t>
  </si>
  <si>
    <t>BUM007369992</t>
  </si>
  <si>
    <t>BND0007370005</t>
  </si>
  <si>
    <t>BUY0007369197</t>
  </si>
  <si>
    <t>BFP0007369998</t>
  </si>
  <si>
    <t>BGN0007370031</t>
  </si>
  <si>
    <t>2507ZEWDE98</t>
  </si>
  <si>
    <t xml:space="preserve"> HEADSET</t>
  </si>
  <si>
    <t>DANIEL</t>
  </si>
  <si>
    <t>KELLEN</t>
  </si>
  <si>
    <t>MR20796</t>
  </si>
  <si>
    <t xml:space="preserve">CAIXA ORGANIZADORA </t>
  </si>
  <si>
    <t xml:space="preserve">WANDERSON </t>
  </si>
  <si>
    <t>REMULO</t>
  </si>
  <si>
    <t>MALETA DE FERRAMENTAS SEMI COMPLETA</t>
  </si>
  <si>
    <t>ZRF NOBIL</t>
  </si>
  <si>
    <t>TOOL BAG</t>
  </si>
  <si>
    <t>CAMPO</t>
  </si>
  <si>
    <t>PEBBLE KEYS 2 K380S</t>
  </si>
  <si>
    <t>YR0091</t>
  </si>
  <si>
    <t>BOLSA PARA NOTEBOOK</t>
  </si>
  <si>
    <t>HWJ</t>
  </si>
  <si>
    <t>TABLET</t>
  </si>
  <si>
    <t>ACTIVE 10 PRO</t>
  </si>
  <si>
    <t>BLACKVIEW</t>
  </si>
  <si>
    <t>ACTIVE10PNEU0100344</t>
  </si>
  <si>
    <t>BA-MOU394</t>
  </si>
  <si>
    <t>BASIKE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</si>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</sst>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2"/>
      <color theme="1"/>
      <name val="Roboto"/>
    </font>
    <font>
      <b/>
      <sz val="12"/>
      <color theme="1"/>
      <name val="Century Gothic"/>
      <family val="2"/>
    </font>
    <font>
      <sz val="8"/>
      <name val="Calibri"/>
      <family val="2"/>
      <scheme val="minor"/>
    </font>
    <font>
      <b/>
      <sz val="14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FF0000"/>
      <name val="Century Gothic"/>
      <family val="2"/>
    </font>
    <font>
      <sz val="12"/>
      <name val="Century Gothic"/>
      <family val="2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117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4" fontId="1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1" fillId="2" borderId="3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quotePrefix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right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2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14" fontId="7" fillId="9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11" fillId="8" borderId="4" xfId="1" applyFont="1" applyFill="1" applyBorder="1" applyAlignment="1">
      <alignment horizontal="left" vertical="center" wrapText="1"/>
    </xf>
    <xf numFmtId="0" fontId="7" fillId="8" borderId="4" xfId="1" applyFont="1" applyFill="1" applyBorder="1" applyAlignment="1">
      <alignment horizontal="left" vertical="center" wrapText="1"/>
    </xf>
    <xf numFmtId="0" fontId="7" fillId="8" borderId="4" xfId="1" applyFont="1" applyFill="1" applyBorder="1" applyAlignment="1">
      <alignment horizontal="center" vertical="center" wrapText="1"/>
    </xf>
    <xf numFmtId="0" fontId="11" fillId="8" borderId="4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 wrapText="1"/>
    </xf>
    <xf numFmtId="0" fontId="11" fillId="7" borderId="4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7" fillId="7" borderId="0" xfId="1" applyFont="1" applyFill="1" applyAlignment="1">
      <alignment horizontal="center" vertical="center" wrapText="1"/>
    </xf>
    <xf numFmtId="0" fontId="11" fillId="7" borderId="0" xfId="1" applyFont="1" applyFill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857251</xdr:colOff>
      <xdr:row>0</xdr:row>
      <xdr:rowOff>31750</xdr:rowOff>
    </xdr:from>
    <xdr:to>
      <xdr:col>1</xdr:col>
      <xdr:colOff>1672168</xdr:colOff>
      <xdr:row>2</xdr:row>
      <xdr:rowOff>281580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03D282A-2827-42D4-9EB0-9A350B19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1" y="31750"/>
          <a:ext cx="1873250" cy="88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857251</xdr:colOff>
      <xdr:row>0</xdr:row>
      <xdr:rowOff>31750</xdr:rowOff>
    </xdr:from>
    <xdr:to>
      <xdr:col>1</xdr:col>
      <xdr:colOff>1672168</xdr:colOff>
      <xdr:row>2</xdr:row>
      <xdr:rowOff>281580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BCC431F-7759-4BA9-811A-DE0C43B06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1" y="31750"/>
          <a:ext cx="1872192" cy="878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CM Suporte" id="{2F31478E-6FBA-470E-B723-C9E71B26B554}" userId="269cd3fc97ba5e6c" providerId="Windows Live"/>
  <person displayName="Karina Faria" id="{4AA68252-393D-4476-87D1-A79BFEB0EDF1}" userId="570757fd04ce6f02" providerId="Windows Live"/>
  <person displayName="BCM Almoxarifado" id="{94AF3DD9-15F0-4AA4-97AF-978874DFFD28}" userId="f159b9d4d4bf570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6-01-23T11:47:53.78" personId="{94AF3DD9-15F0-4AA4-97AF-978874DFFD28}" id="{4E3F399B-3A9E-4753-9A1D-7D412C762CB2}">
    <text>Item na ability para formatação</text>
  </threadedComment>
  <threadedComment ref="B80" dT="2026-02-02T17:24:26.68" personId="{2F31478E-6FBA-470E-B723-C9E71B26B554}" id="{590331B8-5E27-41CA-B2F7-D111947928BA}">
    <text>ESTRAGADO</text>
  </threadedComment>
  <threadedComment ref="B88" dT="2026-02-02T17:31:06.95" personId="{2F31478E-6FBA-470E-B723-C9E71B26B554}" id="{7165AA8C-8240-48FD-9497-CD734FB01629}">
    <text>AGUARDANDO RESPOSTA</text>
  </threadedComment>
  <threadedComment ref="B89" dT="2026-02-02T17:31:19.16" personId="{2F31478E-6FBA-470E-B723-C9E71B26B554}" id="{6425C0EA-8080-4470-BB24-E013B3D11DEA}">
    <text>AGUARDANDO RESPOSTA</text>
  </threadedComment>
  <threadedComment ref="B90" dT="2026-02-04T17:36:13.89" personId="{2F31478E-6FBA-470E-B723-C9E71B26B554}" id="{456485FD-842D-4930-9CB9-A1AF6BCD16E2}">
    <text>Está no campo</text>
  </threadedComment>
  <threadedComment ref="B91" dT="2026-02-02T17:32:20.02" personId="{2F31478E-6FBA-470E-B723-C9E71B26B554}" id="{95C2D17F-9775-4A41-AEC3-898511C416FE}">
    <text>Está no campo</text>
  </threadedComment>
  <threadedComment ref="B96" dT="2026-01-30T18:01:04.39" personId="{2F31478E-6FBA-470E-B723-C9E71B26B554}" id="{77DF7833-B5AC-47BD-86C9-0003EDFAFDDA}">
    <text>DEFEITO</text>
  </threadedComment>
  <threadedComment ref="B97" dT="2026-01-30T18:05:39.66" personId="{2F31478E-6FBA-470E-B723-C9E71B26B554}" id="{CD2F9FCB-D453-4994-A6C7-72C297682798}">
    <text>DEFEITO</text>
  </threadedComment>
  <threadedComment ref="B99" dT="2026-02-02T17:35:24.54" personId="{2F31478E-6FBA-470E-B723-C9E71B26B554}" id="{D83E64B6-38CD-4718-B664-51F9A39D856E}">
    <text>Está no campo</text>
  </threadedComment>
  <threadedComment ref="B100" dT="2026-01-30T18:07:10.97" personId="{2F31478E-6FBA-470E-B723-C9E71B26B554}" id="{A81BEF6C-5C2F-4FB2-BB4D-E9E5E41CA2DA}">
    <text>DEFEITO</text>
  </threadedComment>
  <threadedComment ref="B114" dT="2026-02-02T19:38:48.32" personId="{94AF3DD9-15F0-4AA4-97AF-978874DFFD28}" id="{5E47B7AE-6899-4E45-A07E-0FE453E6F2FD}">
    <text>NÃO SABE ONDE ESTÁ</text>
  </threadedComment>
  <threadedComment ref="B114" dT="2026-02-11T16:41:23.18" personId="{94AF3DD9-15F0-4AA4-97AF-978874DFFD28}" id="{B07FF4C9-1CE4-4F3E-BBC1-3345DDD96306}" parentId="{5E47B7AE-6899-4E45-A07E-0FE453E6F2FD}">
    <text>Olhar marcio</text>
  </threadedComment>
  <threadedComment ref="B134" dT="2026-02-02T17:45:19.73" personId="{2F31478E-6FBA-470E-B723-C9E71B26B554}" id="{D6CA616A-6D14-4141-A9DC-08131BCC7039}">
    <text>ESTRAGADO</text>
  </threadedComment>
  <threadedComment ref="B134" dT="2026-02-04T19:41:31.37" personId="{94AF3DD9-15F0-4AA4-97AF-978874DFFD28}" id="{B3C0AF0A-F8BE-4B99-BEC8-2C29956840F8}" parentId="{D6CA616A-6D14-4141-A9DC-08131BCC7039}">
    <text xml:space="preserve">Olhar conserto com Henrique </text>
  </threadedComment>
  <threadedComment ref="B148" dT="2026-01-30T13:35:40.07" personId="{2F31478E-6FBA-470E-B723-C9E71B26B554}" id="{B9777512-4A36-491D-B57F-A0D3DB15E175}">
    <text>Avaliar conserto</text>
  </threadedComment>
  <threadedComment ref="B166" dT="2026-02-02T17:37:53.21" personId="{2F31478E-6FBA-470E-B723-C9E71B26B554}" id="{103A42B5-C472-476C-808F-3FDE9629DFCF}">
    <text>Está no campo</text>
  </threadedComment>
  <threadedComment ref="B170" dT="2026-02-18T18:38:19.56" personId="{94AF3DD9-15F0-4AA4-97AF-978874DFFD28}" id="{8857F5E1-C417-48F3-BCEF-339E43D12112}">
    <text>Não sabe onde está</text>
  </threadedComment>
  <threadedComment ref="B177" dT="2026-02-18T18:38:13.98" personId="{94AF3DD9-15F0-4AA4-97AF-978874DFFD28}" id="{B25C01FB-0795-48F1-B6B7-3A727CA37B46}">
    <text>Não sabe onde está</text>
  </threadedComment>
  <threadedComment ref="B183" dT="2026-02-18T18:38:07.53" personId="{94AF3DD9-15F0-4AA4-97AF-978874DFFD28}" id="{4D49B5F5-FAA0-4B05-AFD1-E7B2859FCD33}">
    <text>Não sabe onde está</text>
  </threadedComment>
  <threadedComment ref="B188" dT="2026-02-18T18:38:02.37" personId="{94AF3DD9-15F0-4AA4-97AF-978874DFFD28}" id="{ED0C63C0-2636-4F74-875E-A3CCE0E73622}">
    <text>Não sabe onde está</text>
  </threadedComment>
  <threadedComment ref="B190" dT="2026-02-18T18:37:55.45" personId="{94AF3DD9-15F0-4AA4-97AF-978874DFFD28}" id="{556F1C09-A102-438D-8B08-06533E3B8638}">
    <text>Não sabe onde está</text>
  </threadedComment>
  <threadedComment ref="B191" dT="2026-02-18T18:37:49.94" personId="{94AF3DD9-15F0-4AA4-97AF-978874DFFD28}" id="{50332264-CCE4-4B29-8446-D85718D1CB68}">
    <text>Não sabe onde está</text>
  </threadedComment>
  <threadedComment ref="B192" dT="2026-02-18T18:33:43.95" personId="{94AF3DD9-15F0-4AA4-97AF-978874DFFD28}" id="{3DEF6D15-5F4F-4F00-BFAD-10ED39029C5B}">
    <text>Aguardando resposta</text>
  </threadedComment>
  <threadedComment ref="B209" dT="2026-02-18T18:37:43.49" personId="{94AF3DD9-15F0-4AA4-97AF-978874DFFD28}" id="{9477756E-5237-4E7A-9720-AC2E1C481590}">
    <text>Não sabe onde está</text>
  </threadedComment>
  <threadedComment ref="B211" dT="2026-02-02T17:15:10.70" personId="{2F31478E-6FBA-470E-B723-C9E71B26B554}" id="{00A8B87F-A8AD-4FB1-B469-BDE8DAC62B88}">
    <text xml:space="preserve">OLHAR IGOR 
</text>
  </threadedComment>
  <threadedComment ref="B213" dT="2026-02-04T17:41:21.01" personId="{2F31478E-6FBA-470E-B723-C9E71B26B554}" id="{F76C5928-5AEC-44FF-AAAE-3FDE473212A6}">
    <text>Está no Paulo Campos</text>
  </threadedComment>
  <threadedComment ref="B220" dT="2026-02-11T17:54:02.06" personId="{94AF3DD9-15F0-4AA4-97AF-978874DFFD28}" id="{D89596D9-1A7B-435E-812E-8D75AAFBC9AC}">
    <text>Aguardando resposta</text>
  </threadedComment>
  <threadedComment ref="B245" dT="2026-02-18T18:37:36.98" personId="{94AF3DD9-15F0-4AA4-97AF-978874DFFD28}" id="{F8CC1681-F1FE-44BB-9EE4-D4A888885640}">
    <text>Não sabe onde está</text>
  </threadedComment>
  <threadedComment ref="B249" dT="2026-02-18T18:37:25.68" personId="{94AF3DD9-15F0-4AA4-97AF-978874DFFD28}" id="{65A30BF0-E8EE-4A6B-A53F-DF6515457459}">
    <text>Não sabe onde está</text>
  </threadedComment>
  <threadedComment ref="B250" dT="2026-02-18T18:37:13.90" personId="{94AF3DD9-15F0-4AA4-97AF-978874DFFD28}" id="{1DFDD18C-F12E-40C3-9D56-3948D4728BDB}">
    <text>Não sabe onde está</text>
  </threadedComment>
  <threadedComment ref="B252" dT="2026-02-18T18:37:04.36" personId="{94AF3DD9-15F0-4AA4-97AF-978874DFFD28}" id="{25A9608B-7DFB-4970-96AC-53709E715920}">
    <text>Não sabe onde está</text>
  </threadedComment>
  <threadedComment ref="B254" dT="2026-02-18T18:36:38.86" personId="{94AF3DD9-15F0-4AA4-97AF-978874DFFD28}" id="{E22FA964-3681-4401-BC30-3B765B92DF3B}">
    <text>Não sabe onde está</text>
  </threadedComment>
  <threadedComment ref="B256" dT="2026-02-18T18:34:03.23" personId="{94AF3DD9-15F0-4AA4-97AF-978874DFFD28}" id="{09D0D41B-2AAD-4D66-A0BB-08C5102DEACB}">
    <text>Aguardando resposta</text>
  </threadedComment>
  <threadedComment ref="B275" dT="2026-02-06T18:25:09.47" personId="{94AF3DD9-15F0-4AA4-97AF-978874DFFD28}" id="{943A88B1-1D1E-4971-B453-BC9F92FA5F57}">
    <text>Avaliar conserto</text>
  </threadedComment>
  <threadedComment ref="B283" dT="2026-02-18T18:36:23.91" personId="{94AF3DD9-15F0-4AA4-97AF-978874DFFD28}" id="{E91F7111-7436-47B3-9698-4714AD5CCA08}">
    <text>Não sabe onde está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4-02-28T16:01:13.14" personId="{4AA68252-393D-4476-87D1-A79BFEB0EDF1}" id="{FA7B56B6-8D60-47C8-9AC0-8A47D2383D8A}">
    <text>Equipamento inativo, o mesmo foi devolvido para o fabricante.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1"/>
  <sheetViews>
    <sheetView showGridLines="0" tabSelected="1" zoomScaleNormal="100" workbookViewId="0">
      <pane ySplit="4" topLeftCell="A282" activePane="bottomLeft" state="frozen"/>
      <selection pane="bottomLeft" activeCell="C392" sqref="C392"/>
    </sheetView>
  </sheetViews>
  <sheetFormatPr defaultColWidth="8.85546875" defaultRowHeight="15" x14ac:dyDescent="0.25"/>
  <cols>
    <col min="1" max="1" width="15.85546875" bestFit="1" customWidth="1"/>
    <col min="2" max="2" width="42.42578125" style="2" customWidth="1"/>
    <col min="3" max="3" width="20.28515625" style="9" customWidth="1"/>
    <col min="4" max="4" width="36.42578125" style="2" customWidth="1"/>
    <col min="5" max="5" width="26.7109375" style="96" customWidth="1"/>
    <col min="6" max="6" width="24.42578125" style="10" customWidth="1"/>
    <col min="7" max="7" width="31.5703125" style="10" bestFit="1" customWidth="1"/>
    <col min="8" max="8" width="15.7109375" style="20" customWidth="1"/>
    <col min="9" max="9" width="20.42578125" bestFit="1" customWidth="1"/>
    <col min="10" max="10" width="15.28515625" customWidth="1"/>
    <col min="11" max="11" width="18" style="20" customWidth="1"/>
    <col min="12" max="12" width="15.7109375" customWidth="1"/>
    <col min="13" max="13" width="13.140625" customWidth="1"/>
    <col min="14" max="14" width="9.140625" customWidth="1"/>
    <col min="16" max="16" width="5.42578125" customWidth="1"/>
    <col min="17" max="17" width="9.140625" hidden="1" customWidth="1"/>
    <col min="18" max="18" width="23.140625" customWidth="1"/>
  </cols>
  <sheetData>
    <row r="1" spans="1:13" ht="24.95" customHeight="1" x14ac:dyDescent="0.25">
      <c r="A1" s="112"/>
      <c r="B1" s="112"/>
      <c r="C1" s="113" t="s">
        <v>0</v>
      </c>
      <c r="D1" s="113"/>
      <c r="E1" s="113"/>
      <c r="F1" s="113"/>
      <c r="G1" s="113"/>
      <c r="H1" s="113"/>
      <c r="I1" s="113"/>
      <c r="J1" s="113"/>
      <c r="K1" s="113"/>
      <c r="L1" s="113"/>
      <c r="M1" s="5"/>
    </row>
    <row r="2" spans="1:13" ht="24.95" customHeight="1" x14ac:dyDescent="0.25">
      <c r="A2" s="112"/>
      <c r="B2" s="112"/>
      <c r="C2" s="113" t="s">
        <v>1</v>
      </c>
      <c r="D2" s="113"/>
      <c r="E2" s="113"/>
      <c r="F2" s="113"/>
      <c r="G2" s="113"/>
      <c r="H2" s="113"/>
      <c r="I2" s="113"/>
      <c r="J2" s="113"/>
      <c r="K2" s="113"/>
      <c r="L2" s="113"/>
      <c r="M2" s="5"/>
    </row>
    <row r="3" spans="1:13" ht="24.95" customHeight="1" x14ac:dyDescent="0.25">
      <c r="A3" s="112"/>
      <c r="B3" s="112"/>
      <c r="C3" s="114" t="s">
        <v>587</v>
      </c>
      <c r="D3" s="114"/>
      <c r="E3" s="115" t="s">
        <v>13</v>
      </c>
      <c r="F3" s="115"/>
      <c r="G3" s="115"/>
      <c r="H3" s="116" t="s">
        <v>612</v>
      </c>
      <c r="I3" s="116"/>
      <c r="J3" s="116"/>
      <c r="K3" s="116"/>
      <c r="L3" s="116"/>
      <c r="M3" s="6"/>
    </row>
    <row r="4" spans="1:13" s="21" customFormat="1" ht="46.5" customHeight="1" x14ac:dyDescent="0.25">
      <c r="A4" s="38" t="s">
        <v>5</v>
      </c>
      <c r="B4" s="39" t="s">
        <v>2</v>
      </c>
      <c r="C4" s="38" t="s">
        <v>6</v>
      </c>
      <c r="D4" s="39" t="s">
        <v>3</v>
      </c>
      <c r="E4" s="39" t="s">
        <v>628</v>
      </c>
      <c r="F4" s="39" t="s">
        <v>629</v>
      </c>
      <c r="G4" s="39" t="s">
        <v>7</v>
      </c>
      <c r="H4" s="39" t="s">
        <v>4</v>
      </c>
      <c r="I4" s="39" t="s">
        <v>14</v>
      </c>
      <c r="J4" s="39" t="s">
        <v>14</v>
      </c>
      <c r="K4" s="39" t="s">
        <v>11</v>
      </c>
      <c r="L4" s="39" t="s">
        <v>12</v>
      </c>
      <c r="M4" s="40"/>
    </row>
    <row r="5" spans="1:13" ht="34.5" customHeight="1" x14ac:dyDescent="0.25">
      <c r="A5" s="26" t="s">
        <v>15</v>
      </c>
      <c r="B5" s="101" t="s">
        <v>630</v>
      </c>
      <c r="C5" s="27" t="s">
        <v>1430</v>
      </c>
      <c r="D5" s="28" t="s">
        <v>1244</v>
      </c>
      <c r="E5" s="36" t="s">
        <v>649</v>
      </c>
      <c r="F5" s="36" t="s">
        <v>632</v>
      </c>
      <c r="G5" s="30" t="s">
        <v>650</v>
      </c>
      <c r="H5" s="31"/>
      <c r="I5" s="32" t="s">
        <v>1016</v>
      </c>
      <c r="J5" s="32" t="b">
        <f t="shared" ref="J5:J65" si="0">IF(I5="b","0,6",IF(I5="r","0,2",IF(I5="o",0.8)))</f>
        <v>0</v>
      </c>
      <c r="K5" s="31">
        <f t="shared" ref="K5:K65" si="1">J5*H5</f>
        <v>0</v>
      </c>
      <c r="L5" s="33"/>
      <c r="M5" s="34"/>
    </row>
    <row r="6" spans="1:13" ht="34.5" customHeight="1" x14ac:dyDescent="0.25">
      <c r="A6" s="26" t="s">
        <v>16</v>
      </c>
      <c r="B6" s="101" t="s">
        <v>630</v>
      </c>
      <c r="C6" s="27" t="s">
        <v>1380</v>
      </c>
      <c r="D6" s="28" t="s">
        <v>1244</v>
      </c>
      <c r="E6" s="36" t="s">
        <v>633</v>
      </c>
      <c r="F6" s="36" t="s">
        <v>634</v>
      </c>
      <c r="G6" s="30" t="s">
        <v>635</v>
      </c>
      <c r="H6" s="31"/>
      <c r="I6" s="32" t="s">
        <v>1102</v>
      </c>
      <c r="J6" s="32" t="b">
        <f t="shared" si="0"/>
        <v>0</v>
      </c>
      <c r="K6" s="31">
        <f t="shared" si="1"/>
        <v>0</v>
      </c>
      <c r="L6" s="33"/>
      <c r="M6" s="34"/>
    </row>
    <row r="7" spans="1:13" ht="34.5" customHeight="1" x14ac:dyDescent="0.25">
      <c r="A7" s="26" t="s">
        <v>18</v>
      </c>
      <c r="B7" s="101" t="s">
        <v>640</v>
      </c>
      <c r="C7" s="27" t="s">
        <v>1380</v>
      </c>
      <c r="D7" s="28" t="s">
        <v>1212</v>
      </c>
      <c r="E7" s="36" t="s">
        <v>641</v>
      </c>
      <c r="F7" s="36" t="s">
        <v>642</v>
      </c>
      <c r="G7" s="30" t="s">
        <v>643</v>
      </c>
      <c r="H7" s="31"/>
      <c r="I7" s="32" t="s">
        <v>1102</v>
      </c>
      <c r="J7" s="32" t="b">
        <f t="shared" si="0"/>
        <v>0</v>
      </c>
      <c r="K7" s="31">
        <f t="shared" si="1"/>
        <v>0</v>
      </c>
      <c r="L7" s="33"/>
      <c r="M7" s="34"/>
    </row>
    <row r="8" spans="1:13" ht="34.5" customHeight="1" x14ac:dyDescent="0.25">
      <c r="A8" s="26" t="s">
        <v>19</v>
      </c>
      <c r="B8" s="101" t="s">
        <v>644</v>
      </c>
      <c r="C8" s="27" t="s">
        <v>631</v>
      </c>
      <c r="D8" s="28" t="s">
        <v>1299</v>
      </c>
      <c r="E8" s="36" t="s">
        <v>645</v>
      </c>
      <c r="F8" s="36" t="s">
        <v>646</v>
      </c>
      <c r="G8" s="30">
        <v>1750001598</v>
      </c>
      <c r="H8" s="31"/>
      <c r="I8" s="32" t="s">
        <v>1102</v>
      </c>
      <c r="J8" s="32" t="b">
        <f t="shared" si="0"/>
        <v>0</v>
      </c>
      <c r="K8" s="31">
        <f t="shared" si="1"/>
        <v>0</v>
      </c>
      <c r="L8" s="33"/>
      <c r="M8" s="34"/>
    </row>
    <row r="9" spans="1:13" ht="34.5" customHeight="1" x14ac:dyDescent="0.25">
      <c r="A9" s="26" t="s">
        <v>20</v>
      </c>
      <c r="B9" s="101" t="s">
        <v>647</v>
      </c>
      <c r="C9" s="27" t="s">
        <v>1380</v>
      </c>
      <c r="D9" s="28" t="s">
        <v>1244</v>
      </c>
      <c r="E9" s="36" t="s">
        <v>651</v>
      </c>
      <c r="F9" s="36" t="s">
        <v>648</v>
      </c>
      <c r="G9" s="30" t="s">
        <v>652</v>
      </c>
      <c r="H9" s="31"/>
      <c r="I9" s="32" t="s">
        <v>1102</v>
      </c>
      <c r="J9" s="32" t="b">
        <f t="shared" si="0"/>
        <v>0</v>
      </c>
      <c r="K9" s="31">
        <f t="shared" si="1"/>
        <v>0</v>
      </c>
      <c r="L9" s="33"/>
      <c r="M9" s="34"/>
    </row>
    <row r="10" spans="1:13" ht="34.5" customHeight="1" x14ac:dyDescent="0.25">
      <c r="A10" s="26" t="s">
        <v>21</v>
      </c>
      <c r="B10" s="101" t="s">
        <v>630</v>
      </c>
      <c r="C10" s="27" t="s">
        <v>1176</v>
      </c>
      <c r="D10" s="28" t="s">
        <v>1359</v>
      </c>
      <c r="E10" s="36" t="s">
        <v>681</v>
      </c>
      <c r="F10" s="36" t="s">
        <v>654</v>
      </c>
      <c r="G10" s="43" t="s">
        <v>655</v>
      </c>
      <c r="H10" s="31"/>
      <c r="I10" s="32" t="s">
        <v>1102</v>
      </c>
      <c r="J10" s="32" t="b">
        <f t="shared" si="0"/>
        <v>0</v>
      </c>
      <c r="K10" s="31">
        <f t="shared" si="1"/>
        <v>0</v>
      </c>
      <c r="L10" s="33"/>
      <c r="M10" s="34"/>
    </row>
    <row r="11" spans="1:13" ht="34.5" customHeight="1" x14ac:dyDescent="0.25">
      <c r="A11" s="26" t="s">
        <v>22</v>
      </c>
      <c r="B11" s="101" t="s">
        <v>656</v>
      </c>
      <c r="C11" s="27" t="s">
        <v>631</v>
      </c>
      <c r="D11" s="28" t="s">
        <v>1299</v>
      </c>
      <c r="E11" s="36" t="s">
        <v>657</v>
      </c>
      <c r="F11" s="36" t="s">
        <v>683</v>
      </c>
      <c r="G11" s="30" t="s">
        <v>684</v>
      </c>
      <c r="H11" s="31"/>
      <c r="I11" s="32" t="s">
        <v>1016</v>
      </c>
      <c r="J11" s="32" t="b">
        <f t="shared" si="0"/>
        <v>0</v>
      </c>
      <c r="K11" s="31">
        <f t="shared" si="1"/>
        <v>0</v>
      </c>
      <c r="L11" s="33"/>
      <c r="M11" s="34"/>
    </row>
    <row r="12" spans="1:13" ht="34.5" customHeight="1" x14ac:dyDescent="0.25">
      <c r="A12" s="26" t="s">
        <v>23</v>
      </c>
      <c r="B12" s="101" t="s">
        <v>640</v>
      </c>
      <c r="C12" s="27" t="s">
        <v>653</v>
      </c>
      <c r="D12" s="28" t="s">
        <v>1299</v>
      </c>
      <c r="E12" s="36" t="s">
        <v>658</v>
      </c>
      <c r="F12" s="36" t="s">
        <v>685</v>
      </c>
      <c r="G12" s="30" t="s">
        <v>659</v>
      </c>
      <c r="H12" s="31"/>
      <c r="I12" s="32" t="s">
        <v>1016</v>
      </c>
      <c r="J12" s="32" t="b">
        <f t="shared" si="0"/>
        <v>0</v>
      </c>
      <c r="K12" s="31">
        <f t="shared" si="1"/>
        <v>0</v>
      </c>
      <c r="L12" s="33"/>
      <c r="M12" s="34"/>
    </row>
    <row r="13" spans="1:13" ht="34.5" customHeight="1" x14ac:dyDescent="0.25">
      <c r="A13" s="26" t="s">
        <v>24</v>
      </c>
      <c r="B13" s="101" t="s">
        <v>636</v>
      </c>
      <c r="C13" s="27" t="s">
        <v>1122</v>
      </c>
      <c r="D13" s="28" t="s">
        <v>1299</v>
      </c>
      <c r="E13" s="36" t="s">
        <v>660</v>
      </c>
      <c r="F13" s="36" t="s">
        <v>688</v>
      </c>
      <c r="G13" s="30" t="s">
        <v>689</v>
      </c>
      <c r="H13" s="31"/>
      <c r="I13" s="32" t="s">
        <v>1102</v>
      </c>
      <c r="J13" s="32" t="b">
        <f t="shared" si="0"/>
        <v>0</v>
      </c>
      <c r="K13" s="31">
        <f t="shared" si="1"/>
        <v>0</v>
      </c>
      <c r="L13" s="33"/>
      <c r="M13" s="34"/>
    </row>
    <row r="14" spans="1:13" ht="34.5" customHeight="1" x14ac:dyDescent="0.25">
      <c r="A14" s="26" t="s">
        <v>25</v>
      </c>
      <c r="B14" s="101" t="s">
        <v>661</v>
      </c>
      <c r="C14" s="27" t="s">
        <v>653</v>
      </c>
      <c r="D14" s="28" t="s">
        <v>1299</v>
      </c>
      <c r="E14" s="36" t="s">
        <v>687</v>
      </c>
      <c r="F14" s="36" t="s">
        <v>662</v>
      </c>
      <c r="G14" s="30">
        <v>273950340230</v>
      </c>
      <c r="H14" s="31"/>
      <c r="I14" s="32" t="s">
        <v>1102</v>
      </c>
      <c r="J14" s="32" t="b">
        <f t="shared" si="0"/>
        <v>0</v>
      </c>
      <c r="K14" s="31">
        <f t="shared" si="1"/>
        <v>0</v>
      </c>
      <c r="L14" s="33"/>
      <c r="M14" s="34"/>
    </row>
    <row r="15" spans="1:13" ht="34.5" customHeight="1" x14ac:dyDescent="0.25">
      <c r="A15" s="26" t="s">
        <v>26</v>
      </c>
      <c r="B15" s="101" t="s">
        <v>663</v>
      </c>
      <c r="C15" s="27" t="s">
        <v>653</v>
      </c>
      <c r="D15" s="28" t="s">
        <v>1299</v>
      </c>
      <c r="E15" s="36"/>
      <c r="F15" s="36" t="s">
        <v>664</v>
      </c>
      <c r="G15" s="30" t="s">
        <v>840</v>
      </c>
      <c r="H15" s="31"/>
      <c r="I15" s="32" t="s">
        <v>1102</v>
      </c>
      <c r="J15" s="32" t="b">
        <f t="shared" si="0"/>
        <v>0</v>
      </c>
      <c r="K15" s="31">
        <f t="shared" si="1"/>
        <v>0</v>
      </c>
      <c r="L15" s="33"/>
      <c r="M15" s="34"/>
    </row>
    <row r="16" spans="1:13" ht="34.5" customHeight="1" x14ac:dyDescent="0.25">
      <c r="A16" s="26" t="s">
        <v>28</v>
      </c>
      <c r="B16" s="101" t="s">
        <v>630</v>
      </c>
      <c r="C16" s="27" t="s">
        <v>1176</v>
      </c>
      <c r="D16" s="28" t="s">
        <v>1359</v>
      </c>
      <c r="E16" s="36" t="s">
        <v>681</v>
      </c>
      <c r="F16" s="36" t="s">
        <v>654</v>
      </c>
      <c r="G16" s="30" t="s">
        <v>682</v>
      </c>
      <c r="H16" s="31"/>
      <c r="I16" s="32" t="s">
        <v>1102</v>
      </c>
      <c r="J16" s="32" t="b">
        <f t="shared" si="0"/>
        <v>0</v>
      </c>
      <c r="K16" s="31">
        <f t="shared" si="1"/>
        <v>0</v>
      </c>
      <c r="L16" s="33"/>
      <c r="M16" s="34"/>
    </row>
    <row r="17" spans="1:13" ht="34.5" customHeight="1" x14ac:dyDescent="0.25">
      <c r="A17" s="26" t="s">
        <v>29</v>
      </c>
      <c r="B17" s="101" t="s">
        <v>630</v>
      </c>
      <c r="C17" s="27" t="s">
        <v>1380</v>
      </c>
      <c r="D17" s="28" t="s">
        <v>1244</v>
      </c>
      <c r="E17" s="36" t="s">
        <v>669</v>
      </c>
      <c r="F17" s="36" t="s">
        <v>632</v>
      </c>
      <c r="G17" s="30" t="s">
        <v>670</v>
      </c>
      <c r="H17" s="31"/>
      <c r="I17" s="32" t="s">
        <v>1102</v>
      </c>
      <c r="J17" s="32" t="b">
        <f t="shared" si="0"/>
        <v>0</v>
      </c>
      <c r="K17" s="31">
        <f t="shared" si="1"/>
        <v>0</v>
      </c>
      <c r="L17" s="33"/>
      <c r="M17" s="34"/>
    </row>
    <row r="18" spans="1:13" ht="34.5" customHeight="1" x14ac:dyDescent="0.25">
      <c r="A18" s="26" t="s">
        <v>30</v>
      </c>
      <c r="B18" s="101" t="s">
        <v>671</v>
      </c>
      <c r="C18" s="27" t="s">
        <v>1380</v>
      </c>
      <c r="D18" s="28" t="s">
        <v>1244</v>
      </c>
      <c r="E18" s="36" t="s">
        <v>672</v>
      </c>
      <c r="F18" s="36"/>
      <c r="G18" s="41">
        <v>8170605001027</v>
      </c>
      <c r="H18" s="31"/>
      <c r="I18" s="32" t="s">
        <v>1102</v>
      </c>
      <c r="J18" s="32" t="b">
        <f t="shared" si="0"/>
        <v>0</v>
      </c>
      <c r="K18" s="31">
        <f t="shared" si="1"/>
        <v>0</v>
      </c>
      <c r="L18" s="33"/>
      <c r="M18" s="34"/>
    </row>
    <row r="19" spans="1:13" ht="34.5" customHeight="1" x14ac:dyDescent="0.25">
      <c r="A19" s="26" t="s">
        <v>31</v>
      </c>
      <c r="B19" s="101" t="s">
        <v>671</v>
      </c>
      <c r="C19" s="27" t="s">
        <v>1430</v>
      </c>
      <c r="D19" s="28" t="s">
        <v>668</v>
      </c>
      <c r="E19" s="36" t="s">
        <v>647</v>
      </c>
      <c r="F19" s="36" t="s">
        <v>632</v>
      </c>
      <c r="G19" s="41">
        <v>89488</v>
      </c>
      <c r="H19" s="31"/>
      <c r="I19" s="32" t="s">
        <v>1102</v>
      </c>
      <c r="J19" s="32" t="b">
        <f t="shared" si="0"/>
        <v>0</v>
      </c>
      <c r="K19" s="31">
        <f t="shared" si="1"/>
        <v>0</v>
      </c>
      <c r="L19" s="33"/>
      <c r="M19" s="34"/>
    </row>
    <row r="20" spans="1:13" ht="34.5" customHeight="1" x14ac:dyDescent="0.25">
      <c r="A20" s="26" t="s">
        <v>32</v>
      </c>
      <c r="B20" s="101" t="s">
        <v>640</v>
      </c>
      <c r="C20" s="27" t="s">
        <v>1380</v>
      </c>
      <c r="D20" s="28" t="s">
        <v>668</v>
      </c>
      <c r="E20" s="36" t="s">
        <v>690</v>
      </c>
      <c r="F20" s="36"/>
      <c r="G20" s="41">
        <v>26011100147936</v>
      </c>
      <c r="H20" s="31"/>
      <c r="I20" s="32" t="s">
        <v>1102</v>
      </c>
      <c r="J20" s="32" t="b">
        <f t="shared" si="0"/>
        <v>0</v>
      </c>
      <c r="K20" s="31">
        <f t="shared" si="1"/>
        <v>0</v>
      </c>
      <c r="L20" s="33"/>
      <c r="M20" s="34"/>
    </row>
    <row r="21" spans="1:13" ht="34.5" customHeight="1" x14ac:dyDescent="0.25">
      <c r="A21" s="26" t="s">
        <v>33</v>
      </c>
      <c r="B21" s="101" t="s">
        <v>640</v>
      </c>
      <c r="C21" s="27" t="s">
        <v>1380</v>
      </c>
      <c r="D21" s="28" t="s">
        <v>981</v>
      </c>
      <c r="E21" s="36" t="s">
        <v>673</v>
      </c>
      <c r="F21" s="36"/>
      <c r="G21" s="30" t="s">
        <v>840</v>
      </c>
      <c r="H21" s="31"/>
      <c r="I21" s="32" t="s">
        <v>1102</v>
      </c>
      <c r="J21" s="32" t="b">
        <f t="shared" si="0"/>
        <v>0</v>
      </c>
      <c r="K21" s="31">
        <f t="shared" si="1"/>
        <v>0</v>
      </c>
      <c r="L21" s="33"/>
      <c r="M21" s="34"/>
    </row>
    <row r="22" spans="1:13" ht="34.5" customHeight="1" x14ac:dyDescent="0.25">
      <c r="A22" s="26" t="s">
        <v>34</v>
      </c>
      <c r="B22" s="101" t="s">
        <v>636</v>
      </c>
      <c r="C22" s="27" t="s">
        <v>1380</v>
      </c>
      <c r="D22" s="28" t="s">
        <v>981</v>
      </c>
      <c r="E22" s="36" t="s">
        <v>674</v>
      </c>
      <c r="F22" s="36"/>
      <c r="G22" s="30" t="s">
        <v>840</v>
      </c>
      <c r="H22" s="31"/>
      <c r="I22" s="32" t="s">
        <v>1133</v>
      </c>
      <c r="J22" s="32" t="b">
        <f t="shared" si="0"/>
        <v>0</v>
      </c>
      <c r="K22" s="31">
        <f t="shared" si="1"/>
        <v>0</v>
      </c>
      <c r="L22" s="33"/>
      <c r="M22" s="34"/>
    </row>
    <row r="23" spans="1:13" ht="34.5" customHeight="1" x14ac:dyDescent="0.25">
      <c r="A23" s="26" t="s">
        <v>36</v>
      </c>
      <c r="B23" s="101" t="s">
        <v>678</v>
      </c>
      <c r="C23" s="27" t="s">
        <v>1380</v>
      </c>
      <c r="D23" s="28" t="s">
        <v>668</v>
      </c>
      <c r="E23" s="36" t="s">
        <v>679</v>
      </c>
      <c r="F23" s="36"/>
      <c r="G23" s="41">
        <v>107896637609296</v>
      </c>
      <c r="H23" s="31"/>
      <c r="I23" s="32" t="s">
        <v>1102</v>
      </c>
      <c r="J23" s="32" t="b">
        <f t="shared" si="0"/>
        <v>0</v>
      </c>
      <c r="K23" s="31">
        <f t="shared" si="1"/>
        <v>0</v>
      </c>
      <c r="L23" s="33"/>
      <c r="M23" s="34"/>
    </row>
    <row r="24" spans="1:13" ht="34.5" customHeight="1" x14ac:dyDescent="0.25">
      <c r="A24" s="26" t="s">
        <v>37</v>
      </c>
      <c r="B24" s="101" t="s">
        <v>1187</v>
      </c>
      <c r="C24" s="27" t="s">
        <v>990</v>
      </c>
      <c r="D24" s="28" t="s">
        <v>668</v>
      </c>
      <c r="E24" s="36" t="s">
        <v>680</v>
      </c>
      <c r="F24" s="36"/>
      <c r="G24" s="30">
        <v>15748</v>
      </c>
      <c r="H24" s="31"/>
      <c r="I24" s="32" t="s">
        <v>1102</v>
      </c>
      <c r="J24" s="32" t="b">
        <f t="shared" si="0"/>
        <v>0</v>
      </c>
      <c r="K24" s="31">
        <f t="shared" si="1"/>
        <v>0</v>
      </c>
      <c r="L24" s="33"/>
      <c r="M24" s="34"/>
    </row>
    <row r="25" spans="1:13" ht="34.5" customHeight="1" x14ac:dyDescent="0.25">
      <c r="A25" s="26" t="s">
        <v>38</v>
      </c>
      <c r="B25" s="101" t="s">
        <v>630</v>
      </c>
      <c r="C25" s="27" t="s">
        <v>1380</v>
      </c>
      <c r="D25" s="28" t="s">
        <v>1244</v>
      </c>
      <c r="E25" s="36" t="s">
        <v>691</v>
      </c>
      <c r="F25" s="36" t="s">
        <v>632</v>
      </c>
      <c r="G25" s="30" t="s">
        <v>692</v>
      </c>
      <c r="H25" s="31"/>
      <c r="I25" s="32" t="s">
        <v>1102</v>
      </c>
      <c r="J25" s="32" t="b">
        <f t="shared" si="0"/>
        <v>0</v>
      </c>
      <c r="K25" s="31">
        <f t="shared" si="1"/>
        <v>0</v>
      </c>
      <c r="L25" s="33"/>
      <c r="M25" s="34"/>
    </row>
    <row r="26" spans="1:13" ht="34.5" customHeight="1" x14ac:dyDescent="0.25">
      <c r="A26" s="26" t="s">
        <v>39</v>
      </c>
      <c r="B26" s="101" t="s">
        <v>630</v>
      </c>
      <c r="C26" s="27" t="s">
        <v>1380</v>
      </c>
      <c r="D26" s="28" t="s">
        <v>1299</v>
      </c>
      <c r="E26" s="36"/>
      <c r="F26" s="36" t="s">
        <v>694</v>
      </c>
      <c r="G26" s="30" t="s">
        <v>840</v>
      </c>
      <c r="H26" s="31"/>
      <c r="I26" s="32" t="s">
        <v>1102</v>
      </c>
      <c r="J26" s="32" t="b">
        <f t="shared" si="0"/>
        <v>0</v>
      </c>
      <c r="K26" s="31">
        <f t="shared" si="1"/>
        <v>0</v>
      </c>
      <c r="L26" s="33"/>
      <c r="M26" s="34"/>
    </row>
    <row r="27" spans="1:13" ht="34.5" customHeight="1" x14ac:dyDescent="0.25">
      <c r="A27" s="26" t="s">
        <v>40</v>
      </c>
      <c r="B27" s="101" t="s">
        <v>630</v>
      </c>
      <c r="C27" s="27" t="s">
        <v>1380</v>
      </c>
      <c r="D27" s="28" t="s">
        <v>1299</v>
      </c>
      <c r="E27" s="36"/>
      <c r="F27" s="36" t="s">
        <v>694</v>
      </c>
      <c r="G27" s="30" t="s">
        <v>840</v>
      </c>
      <c r="H27" s="31"/>
      <c r="I27" s="32" t="s">
        <v>1102</v>
      </c>
      <c r="J27" s="32" t="b">
        <f t="shared" si="0"/>
        <v>0</v>
      </c>
      <c r="K27" s="31">
        <f t="shared" si="1"/>
        <v>0</v>
      </c>
      <c r="L27" s="33"/>
      <c r="M27" s="34"/>
    </row>
    <row r="28" spans="1:13" ht="34.5" customHeight="1" x14ac:dyDescent="0.25">
      <c r="A28" s="26" t="s">
        <v>41</v>
      </c>
      <c r="B28" s="101" t="s">
        <v>695</v>
      </c>
      <c r="C28" s="27" t="s">
        <v>990</v>
      </c>
      <c r="D28" s="28" t="s">
        <v>668</v>
      </c>
      <c r="E28" s="36" t="s">
        <v>696</v>
      </c>
      <c r="F28" s="36" t="s">
        <v>697</v>
      </c>
      <c r="G28" s="30" t="s">
        <v>840</v>
      </c>
      <c r="H28" s="31"/>
      <c r="I28" s="32" t="s">
        <v>1102</v>
      </c>
      <c r="J28" s="32" t="b">
        <f t="shared" si="0"/>
        <v>0</v>
      </c>
      <c r="K28" s="31">
        <f t="shared" si="1"/>
        <v>0</v>
      </c>
      <c r="L28" s="33"/>
      <c r="M28" s="34"/>
    </row>
    <row r="29" spans="1:13" ht="34.5" customHeight="1" x14ac:dyDescent="0.25">
      <c r="A29" s="26" t="s">
        <v>42</v>
      </c>
      <c r="B29" s="101" t="s">
        <v>661</v>
      </c>
      <c r="C29" s="27" t="s">
        <v>693</v>
      </c>
      <c r="D29" s="28" t="s">
        <v>1005</v>
      </c>
      <c r="E29" s="36"/>
      <c r="F29" s="36" t="s">
        <v>662</v>
      </c>
      <c r="G29" s="30" t="s">
        <v>840</v>
      </c>
      <c r="H29" s="31"/>
      <c r="I29" s="32" t="s">
        <v>1102</v>
      </c>
      <c r="J29" s="32" t="b">
        <f t="shared" si="0"/>
        <v>0</v>
      </c>
      <c r="K29" s="31">
        <f t="shared" si="1"/>
        <v>0</v>
      </c>
      <c r="L29" s="33"/>
      <c r="M29" s="34"/>
    </row>
    <row r="30" spans="1:13" ht="34.5" customHeight="1" x14ac:dyDescent="0.25">
      <c r="A30" s="26" t="s">
        <v>43</v>
      </c>
      <c r="B30" s="101" t="s">
        <v>636</v>
      </c>
      <c r="C30" s="27" t="s">
        <v>1380</v>
      </c>
      <c r="D30" s="28" t="s">
        <v>981</v>
      </c>
      <c r="E30" s="36"/>
      <c r="F30" s="36" t="s">
        <v>698</v>
      </c>
      <c r="G30" s="30" t="s">
        <v>840</v>
      </c>
      <c r="H30" s="31"/>
      <c r="I30" s="32" t="s">
        <v>1133</v>
      </c>
      <c r="J30" s="32" t="b">
        <f t="shared" si="0"/>
        <v>0</v>
      </c>
      <c r="K30" s="31">
        <f t="shared" si="1"/>
        <v>0</v>
      </c>
      <c r="L30" s="33"/>
      <c r="M30" s="34"/>
    </row>
    <row r="31" spans="1:13" ht="34.5" customHeight="1" x14ac:dyDescent="0.25">
      <c r="A31" s="26" t="s">
        <v>44</v>
      </c>
      <c r="B31" s="101" t="s">
        <v>640</v>
      </c>
      <c r="C31" s="27" t="s">
        <v>906</v>
      </c>
      <c r="D31" s="28" t="s">
        <v>909</v>
      </c>
      <c r="E31" s="36" t="s">
        <v>699</v>
      </c>
      <c r="F31" s="36" t="s">
        <v>642</v>
      </c>
      <c r="G31" s="30" t="s">
        <v>840</v>
      </c>
      <c r="H31" s="31"/>
      <c r="I31" s="32" t="s">
        <v>1102</v>
      </c>
      <c r="J31" s="32" t="b">
        <f t="shared" si="0"/>
        <v>0</v>
      </c>
      <c r="K31" s="31">
        <f t="shared" si="1"/>
        <v>0</v>
      </c>
      <c r="L31" s="33"/>
      <c r="M31" s="34"/>
    </row>
    <row r="32" spans="1:13" ht="34.5" customHeight="1" x14ac:dyDescent="0.25">
      <c r="A32" s="26" t="s">
        <v>45</v>
      </c>
      <c r="B32" s="101" t="s">
        <v>665</v>
      </c>
      <c r="C32" s="27" t="s">
        <v>653</v>
      </c>
      <c r="D32" s="28" t="s">
        <v>1299</v>
      </c>
      <c r="E32" s="36" t="s">
        <v>700</v>
      </c>
      <c r="F32" s="36" t="s">
        <v>634</v>
      </c>
      <c r="G32" s="30" t="s">
        <v>840</v>
      </c>
      <c r="H32" s="31"/>
      <c r="I32" s="32" t="s">
        <v>1102</v>
      </c>
      <c r="J32" s="32" t="b">
        <f t="shared" si="0"/>
        <v>0</v>
      </c>
      <c r="K32" s="31">
        <f t="shared" si="1"/>
        <v>0</v>
      </c>
      <c r="L32" s="33"/>
      <c r="M32" s="34"/>
    </row>
    <row r="33" spans="1:13" ht="34.5" customHeight="1" x14ac:dyDescent="0.25">
      <c r="A33" s="26" t="s">
        <v>46</v>
      </c>
      <c r="B33" s="101" t="s">
        <v>701</v>
      </c>
      <c r="C33" s="27" t="s">
        <v>693</v>
      </c>
      <c r="D33" s="28" t="s">
        <v>1299</v>
      </c>
      <c r="E33" s="36" t="s">
        <v>702</v>
      </c>
      <c r="F33" s="36" t="s">
        <v>703</v>
      </c>
      <c r="G33" s="30" t="s">
        <v>704</v>
      </c>
      <c r="H33" s="31"/>
      <c r="I33" s="32" t="s">
        <v>1102</v>
      </c>
      <c r="J33" s="32" t="b">
        <f t="shared" si="0"/>
        <v>0</v>
      </c>
      <c r="K33" s="31">
        <f t="shared" si="1"/>
        <v>0</v>
      </c>
      <c r="L33" s="33"/>
      <c r="M33" s="34"/>
    </row>
    <row r="34" spans="1:13" ht="34.5" customHeight="1" x14ac:dyDescent="0.25">
      <c r="A34" s="26" t="s">
        <v>47</v>
      </c>
      <c r="B34" s="104" t="s">
        <v>671</v>
      </c>
      <c r="C34" s="27" t="s">
        <v>1122</v>
      </c>
      <c r="D34" s="28" t="s">
        <v>1299</v>
      </c>
      <c r="E34" s="36" t="s">
        <v>705</v>
      </c>
      <c r="F34" s="36" t="s">
        <v>706</v>
      </c>
      <c r="G34" s="30" t="s">
        <v>707</v>
      </c>
      <c r="H34" s="31"/>
      <c r="I34" s="32" t="s">
        <v>1064</v>
      </c>
      <c r="J34" s="32" t="b">
        <f t="shared" si="0"/>
        <v>0</v>
      </c>
      <c r="K34" s="31">
        <f t="shared" si="1"/>
        <v>0</v>
      </c>
      <c r="L34" s="33"/>
      <c r="M34" s="34"/>
    </row>
    <row r="35" spans="1:13" ht="34.5" customHeight="1" x14ac:dyDescent="0.25">
      <c r="A35" s="26" t="s">
        <v>48</v>
      </c>
      <c r="B35" s="101" t="s">
        <v>708</v>
      </c>
      <c r="C35" s="27" t="s">
        <v>1380</v>
      </c>
      <c r="D35" s="28" t="s">
        <v>1244</v>
      </c>
      <c r="E35" s="36" t="s">
        <v>709</v>
      </c>
      <c r="F35" s="36" t="s">
        <v>654</v>
      </c>
      <c r="G35" s="30" t="s">
        <v>710</v>
      </c>
      <c r="H35" s="31"/>
      <c r="I35" s="32" t="s">
        <v>1102</v>
      </c>
      <c r="J35" s="32" t="b">
        <f t="shared" si="0"/>
        <v>0</v>
      </c>
      <c r="K35" s="31">
        <f t="shared" si="1"/>
        <v>0</v>
      </c>
      <c r="L35" s="33"/>
      <c r="M35" s="34"/>
    </row>
    <row r="36" spans="1:13" ht="34.5" customHeight="1" x14ac:dyDescent="0.25">
      <c r="A36" s="26" t="s">
        <v>49</v>
      </c>
      <c r="B36" s="101" t="s">
        <v>711</v>
      </c>
      <c r="C36" s="27" t="s">
        <v>1380</v>
      </c>
      <c r="D36" s="28" t="s">
        <v>981</v>
      </c>
      <c r="E36" s="36" t="s">
        <v>712</v>
      </c>
      <c r="F36" s="36"/>
      <c r="G36" s="30" t="s">
        <v>713</v>
      </c>
      <c r="H36" s="31"/>
      <c r="I36" s="32" t="s">
        <v>1102</v>
      </c>
      <c r="J36" s="32" t="b">
        <f t="shared" si="0"/>
        <v>0</v>
      </c>
      <c r="K36" s="31">
        <f t="shared" si="1"/>
        <v>0</v>
      </c>
      <c r="L36" s="33"/>
      <c r="M36" s="34"/>
    </row>
    <row r="37" spans="1:13" ht="34.5" customHeight="1" x14ac:dyDescent="0.25">
      <c r="A37" s="26" t="s">
        <v>50</v>
      </c>
      <c r="B37" s="101" t="s">
        <v>675</v>
      </c>
      <c r="C37" s="27" t="s">
        <v>1380</v>
      </c>
      <c r="D37" s="28" t="s">
        <v>1299</v>
      </c>
      <c r="E37" s="36"/>
      <c r="F37" s="36" t="s">
        <v>698</v>
      </c>
      <c r="G37" s="30">
        <v>123835</v>
      </c>
      <c r="H37" s="31"/>
      <c r="I37" s="32" t="s">
        <v>1102</v>
      </c>
      <c r="J37" s="32" t="b">
        <f t="shared" si="0"/>
        <v>0</v>
      </c>
      <c r="K37" s="31">
        <f t="shared" si="1"/>
        <v>0</v>
      </c>
      <c r="L37" s="33"/>
      <c r="M37" s="34"/>
    </row>
    <row r="38" spans="1:13" ht="34.5" customHeight="1" x14ac:dyDescent="0.25">
      <c r="A38" s="26" t="s">
        <v>51</v>
      </c>
      <c r="B38" s="101" t="s">
        <v>1187</v>
      </c>
      <c r="C38" s="27" t="s">
        <v>1380</v>
      </c>
      <c r="D38" s="28" t="s">
        <v>1244</v>
      </c>
      <c r="E38" s="36" t="s">
        <v>662</v>
      </c>
      <c r="F38" s="36" t="s">
        <v>662</v>
      </c>
      <c r="G38" s="30" t="s">
        <v>714</v>
      </c>
      <c r="H38" s="31"/>
      <c r="I38" s="32" t="s">
        <v>1102</v>
      </c>
      <c r="J38" s="32" t="b">
        <f t="shared" si="0"/>
        <v>0</v>
      </c>
      <c r="K38" s="31">
        <f t="shared" si="1"/>
        <v>0</v>
      </c>
      <c r="L38" s="33"/>
      <c r="M38" s="34"/>
    </row>
    <row r="39" spans="1:13" ht="34.5" customHeight="1" x14ac:dyDescent="0.25">
      <c r="A39" s="26" t="s">
        <v>52</v>
      </c>
      <c r="B39" s="101" t="s">
        <v>715</v>
      </c>
      <c r="C39" s="27" t="s">
        <v>1380</v>
      </c>
      <c r="D39" s="28" t="s">
        <v>1244</v>
      </c>
      <c r="E39" s="36" t="s">
        <v>716</v>
      </c>
      <c r="F39" s="36" t="s">
        <v>654</v>
      </c>
      <c r="G39" s="30" t="s">
        <v>719</v>
      </c>
      <c r="H39" s="31"/>
      <c r="I39" s="32" t="s">
        <v>1102</v>
      </c>
      <c r="J39" s="32" t="b">
        <f t="shared" si="0"/>
        <v>0</v>
      </c>
      <c r="K39" s="31">
        <f t="shared" si="1"/>
        <v>0</v>
      </c>
      <c r="L39" s="33"/>
      <c r="M39" s="34"/>
    </row>
    <row r="40" spans="1:13" ht="34.5" customHeight="1" x14ac:dyDescent="0.25">
      <c r="A40" s="26" t="s">
        <v>53</v>
      </c>
      <c r="B40" s="101" t="s">
        <v>665</v>
      </c>
      <c r="C40" s="27" t="s">
        <v>631</v>
      </c>
      <c r="D40" s="28" t="s">
        <v>1299</v>
      </c>
      <c r="E40" s="36" t="s">
        <v>717</v>
      </c>
      <c r="F40" s="36"/>
      <c r="G40" s="41" t="s">
        <v>718</v>
      </c>
      <c r="H40" s="31"/>
      <c r="I40" s="32" t="s">
        <v>1102</v>
      </c>
      <c r="J40" s="32" t="b">
        <f t="shared" si="0"/>
        <v>0</v>
      </c>
      <c r="K40" s="31">
        <f t="shared" si="1"/>
        <v>0</v>
      </c>
      <c r="L40" s="33"/>
      <c r="M40" s="34"/>
    </row>
    <row r="41" spans="1:13" ht="34.5" customHeight="1" x14ac:dyDescent="0.25">
      <c r="A41" s="26" t="s">
        <v>54</v>
      </c>
      <c r="B41" s="101" t="s">
        <v>720</v>
      </c>
      <c r="C41" s="27" t="s">
        <v>957</v>
      </c>
      <c r="D41" s="28" t="s">
        <v>981</v>
      </c>
      <c r="E41" s="36" t="s">
        <v>722</v>
      </c>
      <c r="F41" s="36" t="s">
        <v>688</v>
      </c>
      <c r="G41" s="30" t="s">
        <v>723</v>
      </c>
      <c r="H41" s="31"/>
      <c r="I41" s="32" t="s">
        <v>1016</v>
      </c>
      <c r="J41" s="32" t="b">
        <f t="shared" si="0"/>
        <v>0</v>
      </c>
      <c r="K41" s="31">
        <f t="shared" si="1"/>
        <v>0</v>
      </c>
      <c r="L41" s="33"/>
      <c r="M41" s="34"/>
    </row>
    <row r="42" spans="1:13" ht="34.5" customHeight="1" x14ac:dyDescent="0.25">
      <c r="A42" s="26" t="s">
        <v>55</v>
      </c>
      <c r="B42" s="101" t="s">
        <v>630</v>
      </c>
      <c r="C42" s="27" t="s">
        <v>721</v>
      </c>
      <c r="D42" s="28" t="s">
        <v>1327</v>
      </c>
      <c r="E42" s="36" t="s">
        <v>724</v>
      </c>
      <c r="F42" s="36" t="s">
        <v>688</v>
      </c>
      <c r="G42" s="30" t="s">
        <v>725</v>
      </c>
      <c r="H42" s="31">
        <v>1500</v>
      </c>
      <c r="I42" s="32" t="s">
        <v>1016</v>
      </c>
      <c r="J42" s="32" t="b">
        <f t="shared" si="0"/>
        <v>0</v>
      </c>
      <c r="K42" s="31">
        <f t="shared" si="1"/>
        <v>0</v>
      </c>
      <c r="L42" s="33"/>
      <c r="M42" s="34"/>
    </row>
    <row r="43" spans="1:13" ht="34.5" customHeight="1" x14ac:dyDescent="0.25">
      <c r="A43" s="26" t="s">
        <v>56</v>
      </c>
      <c r="B43" s="101" t="s">
        <v>630</v>
      </c>
      <c r="C43" s="27" t="s">
        <v>721</v>
      </c>
      <c r="D43" s="28" t="s">
        <v>1327</v>
      </c>
      <c r="E43" s="36" t="s">
        <v>724</v>
      </c>
      <c r="F43" s="36" t="s">
        <v>688</v>
      </c>
      <c r="G43" s="30" t="s">
        <v>725</v>
      </c>
      <c r="H43" s="31">
        <v>1500</v>
      </c>
      <c r="I43" s="32" t="s">
        <v>1016</v>
      </c>
      <c r="J43" s="32" t="b">
        <f t="shared" si="0"/>
        <v>0</v>
      </c>
      <c r="K43" s="31">
        <f t="shared" si="1"/>
        <v>0</v>
      </c>
      <c r="L43" s="33"/>
      <c r="M43" s="34"/>
    </row>
    <row r="44" spans="1:13" ht="34.5" customHeight="1" x14ac:dyDescent="0.25">
      <c r="A44" s="26" t="s">
        <v>57</v>
      </c>
      <c r="B44" s="101" t="s">
        <v>640</v>
      </c>
      <c r="C44" s="27" t="s">
        <v>1380</v>
      </c>
      <c r="D44" s="28" t="s">
        <v>668</v>
      </c>
      <c r="E44" s="36"/>
      <c r="F44" s="36" t="s">
        <v>688</v>
      </c>
      <c r="G44" s="30" t="s">
        <v>726</v>
      </c>
      <c r="H44" s="31"/>
      <c r="I44" s="32" t="s">
        <v>1016</v>
      </c>
      <c r="J44" s="32" t="b">
        <f t="shared" si="0"/>
        <v>0</v>
      </c>
      <c r="K44" s="31">
        <f t="shared" si="1"/>
        <v>0</v>
      </c>
      <c r="L44" s="33"/>
      <c r="M44" s="34"/>
    </row>
    <row r="45" spans="1:13" ht="34.5" customHeight="1" x14ac:dyDescent="0.25">
      <c r="A45" s="26" t="s">
        <v>58</v>
      </c>
      <c r="B45" s="101" t="s">
        <v>636</v>
      </c>
      <c r="C45" s="27" t="s">
        <v>1380</v>
      </c>
      <c r="D45" s="28" t="s">
        <v>668</v>
      </c>
      <c r="E45" s="36" t="s">
        <v>727</v>
      </c>
      <c r="F45" s="36" t="s">
        <v>728</v>
      </c>
      <c r="G45" s="30" t="s">
        <v>729</v>
      </c>
      <c r="H45" s="31"/>
      <c r="I45" s="32" t="s">
        <v>1016</v>
      </c>
      <c r="J45" s="32" t="b">
        <f t="shared" si="0"/>
        <v>0</v>
      </c>
      <c r="K45" s="31">
        <f t="shared" si="1"/>
        <v>0</v>
      </c>
      <c r="L45" s="33"/>
      <c r="M45" s="34"/>
    </row>
    <row r="46" spans="1:13" ht="34.5" customHeight="1" x14ac:dyDescent="0.25">
      <c r="A46" s="26" t="s">
        <v>61</v>
      </c>
      <c r="B46" s="101" t="s">
        <v>630</v>
      </c>
      <c r="C46" s="27" t="s">
        <v>773</v>
      </c>
      <c r="D46" s="28" t="s">
        <v>1327</v>
      </c>
      <c r="E46" s="36" t="s">
        <v>737</v>
      </c>
      <c r="F46" s="36" t="s">
        <v>688</v>
      </c>
      <c r="G46" s="30" t="s">
        <v>738</v>
      </c>
      <c r="H46" s="31">
        <v>1500</v>
      </c>
      <c r="I46" s="32" t="s">
        <v>1016</v>
      </c>
      <c r="J46" s="32" t="b">
        <f t="shared" si="0"/>
        <v>0</v>
      </c>
      <c r="K46" s="31">
        <f t="shared" si="1"/>
        <v>0</v>
      </c>
      <c r="L46" s="33"/>
      <c r="M46" s="34"/>
    </row>
    <row r="47" spans="1:13" ht="34.5" customHeight="1" x14ac:dyDescent="0.25">
      <c r="A47" s="26" t="s">
        <v>62</v>
      </c>
      <c r="B47" s="101" t="s">
        <v>630</v>
      </c>
      <c r="C47" s="27" t="s">
        <v>773</v>
      </c>
      <c r="D47" s="28" t="s">
        <v>1327</v>
      </c>
      <c r="E47" s="36" t="s">
        <v>737</v>
      </c>
      <c r="F47" s="36" t="s">
        <v>688</v>
      </c>
      <c r="G47" s="30" t="s">
        <v>738</v>
      </c>
      <c r="H47" s="31">
        <v>1500</v>
      </c>
      <c r="I47" s="32" t="s">
        <v>1016</v>
      </c>
      <c r="J47" s="32" t="b">
        <f t="shared" si="0"/>
        <v>0</v>
      </c>
      <c r="K47" s="31">
        <f t="shared" si="1"/>
        <v>0</v>
      </c>
      <c r="L47" s="33"/>
      <c r="M47" s="34"/>
    </row>
    <row r="48" spans="1:13" ht="34.5" customHeight="1" x14ac:dyDescent="0.25">
      <c r="A48" s="26" t="s">
        <v>63</v>
      </c>
      <c r="B48" s="101" t="s">
        <v>730</v>
      </c>
      <c r="C48" s="27" t="s">
        <v>750</v>
      </c>
      <c r="D48" s="28" t="s">
        <v>1299</v>
      </c>
      <c r="E48" s="36" t="s">
        <v>739</v>
      </c>
      <c r="F48" s="36" t="s">
        <v>688</v>
      </c>
      <c r="G48" s="30" t="s">
        <v>740</v>
      </c>
      <c r="H48" s="31">
        <v>1200</v>
      </c>
      <c r="I48" s="32" t="s">
        <v>1016</v>
      </c>
      <c r="J48" s="32" t="b">
        <f t="shared" si="0"/>
        <v>0</v>
      </c>
      <c r="K48" s="31">
        <f t="shared" si="1"/>
        <v>0</v>
      </c>
      <c r="L48" s="33"/>
      <c r="M48" s="34"/>
    </row>
    <row r="49" spans="1:13" ht="34.5" customHeight="1" x14ac:dyDescent="0.25">
      <c r="A49" s="26" t="s">
        <v>64</v>
      </c>
      <c r="B49" s="101" t="s">
        <v>720</v>
      </c>
      <c r="C49" s="27" t="s">
        <v>1411</v>
      </c>
      <c r="D49" s="28" t="s">
        <v>1299</v>
      </c>
      <c r="E49" s="36" t="s">
        <v>741</v>
      </c>
      <c r="F49" s="36" t="s">
        <v>688</v>
      </c>
      <c r="G49" s="30" t="s">
        <v>742</v>
      </c>
      <c r="H49" s="31"/>
      <c r="I49" s="32" t="s">
        <v>1016</v>
      </c>
      <c r="J49" s="32" t="b">
        <f t="shared" si="0"/>
        <v>0</v>
      </c>
      <c r="K49" s="31">
        <f t="shared" si="1"/>
        <v>0</v>
      </c>
      <c r="L49" s="33"/>
      <c r="M49" s="34"/>
    </row>
    <row r="50" spans="1:13" ht="34.5" customHeight="1" x14ac:dyDescent="0.25">
      <c r="A50" s="26" t="s">
        <v>65</v>
      </c>
      <c r="B50" s="101" t="s">
        <v>675</v>
      </c>
      <c r="C50" s="27" t="s">
        <v>736</v>
      </c>
      <c r="D50" s="28" t="s">
        <v>1327</v>
      </c>
      <c r="E50" s="36" t="s">
        <v>675</v>
      </c>
      <c r="F50" s="36" t="s">
        <v>688</v>
      </c>
      <c r="G50" s="30" t="s">
        <v>743</v>
      </c>
      <c r="H50" s="31"/>
      <c r="I50" s="32" t="s">
        <v>1016</v>
      </c>
      <c r="J50" s="32" t="b">
        <f t="shared" si="0"/>
        <v>0</v>
      </c>
      <c r="K50" s="31">
        <f t="shared" si="1"/>
        <v>0</v>
      </c>
      <c r="L50" s="33"/>
      <c r="M50" s="34"/>
    </row>
    <row r="51" spans="1:13" ht="34.5" customHeight="1" x14ac:dyDescent="0.25">
      <c r="A51" s="26" t="s">
        <v>66</v>
      </c>
      <c r="B51" s="101" t="s">
        <v>640</v>
      </c>
      <c r="C51" s="27" t="s">
        <v>736</v>
      </c>
      <c r="D51" s="28" t="s">
        <v>1327</v>
      </c>
      <c r="E51" s="36" t="s">
        <v>744</v>
      </c>
      <c r="F51" s="36" t="s">
        <v>642</v>
      </c>
      <c r="G51" s="30" t="s">
        <v>745</v>
      </c>
      <c r="H51" s="31"/>
      <c r="I51" s="32" t="s">
        <v>1016</v>
      </c>
      <c r="J51" s="32" t="b">
        <f t="shared" si="0"/>
        <v>0</v>
      </c>
      <c r="K51" s="31">
        <f t="shared" si="1"/>
        <v>0</v>
      </c>
      <c r="L51" s="33"/>
      <c r="M51" s="34"/>
    </row>
    <row r="52" spans="1:13" ht="34.5" customHeight="1" x14ac:dyDescent="0.25">
      <c r="A52" s="26" t="s">
        <v>67</v>
      </c>
      <c r="B52" s="101" t="s">
        <v>733</v>
      </c>
      <c r="C52" s="27" t="s">
        <v>721</v>
      </c>
      <c r="D52" s="28" t="s">
        <v>1327</v>
      </c>
      <c r="E52" s="36" t="s">
        <v>734</v>
      </c>
      <c r="F52" s="36" t="s">
        <v>664</v>
      </c>
      <c r="G52" s="30" t="s">
        <v>746</v>
      </c>
      <c r="H52" s="31">
        <v>180</v>
      </c>
      <c r="I52" s="32" t="s">
        <v>1393</v>
      </c>
      <c r="J52" s="32" t="b">
        <f t="shared" si="0"/>
        <v>0</v>
      </c>
      <c r="K52" s="31">
        <f t="shared" si="1"/>
        <v>0</v>
      </c>
      <c r="L52" s="33"/>
      <c r="M52" s="34"/>
    </row>
    <row r="53" spans="1:13" ht="34.5" customHeight="1" x14ac:dyDescent="0.25">
      <c r="A53" s="26" t="s">
        <v>68</v>
      </c>
      <c r="B53" s="101" t="s">
        <v>720</v>
      </c>
      <c r="C53" s="27" t="s">
        <v>1283</v>
      </c>
      <c r="D53" s="28" t="s">
        <v>1299</v>
      </c>
      <c r="E53" s="36" t="s">
        <v>747</v>
      </c>
      <c r="F53" s="36" t="s">
        <v>688</v>
      </c>
      <c r="G53" s="30" t="s">
        <v>748</v>
      </c>
      <c r="H53" s="31"/>
      <c r="I53" s="32" t="s">
        <v>1016</v>
      </c>
      <c r="J53" s="32" t="b">
        <f t="shared" si="0"/>
        <v>0</v>
      </c>
      <c r="K53" s="31">
        <f t="shared" si="1"/>
        <v>0</v>
      </c>
      <c r="L53" s="33"/>
      <c r="M53" s="34"/>
    </row>
    <row r="54" spans="1:13" ht="34.5" customHeight="1" x14ac:dyDescent="0.25">
      <c r="A54" s="26" t="s">
        <v>69</v>
      </c>
      <c r="B54" s="101" t="s">
        <v>630</v>
      </c>
      <c r="C54" s="27" t="s">
        <v>1283</v>
      </c>
      <c r="D54" s="28" t="s">
        <v>1299</v>
      </c>
      <c r="E54" s="36"/>
      <c r="F54" s="36" t="s">
        <v>634</v>
      </c>
      <c r="G54" s="30" t="s">
        <v>757</v>
      </c>
      <c r="H54" s="31"/>
      <c r="I54" s="32" t="s">
        <v>1016</v>
      </c>
      <c r="J54" s="32" t="b">
        <f t="shared" si="0"/>
        <v>0</v>
      </c>
      <c r="K54" s="31">
        <f t="shared" si="1"/>
        <v>0</v>
      </c>
      <c r="L54" s="33"/>
      <c r="M54" s="34"/>
    </row>
    <row r="55" spans="1:13" ht="34.5" customHeight="1" x14ac:dyDescent="0.25">
      <c r="A55" s="26" t="s">
        <v>70</v>
      </c>
      <c r="B55" s="101" t="s">
        <v>630</v>
      </c>
      <c r="C55" s="27" t="s">
        <v>1283</v>
      </c>
      <c r="D55" s="28" t="s">
        <v>1299</v>
      </c>
      <c r="E55" s="36"/>
      <c r="F55" s="36" t="s">
        <v>634</v>
      </c>
      <c r="G55" s="30" t="s">
        <v>758</v>
      </c>
      <c r="H55" s="31"/>
      <c r="I55" s="32" t="s">
        <v>1016</v>
      </c>
      <c r="J55" s="32" t="b">
        <f t="shared" si="0"/>
        <v>0</v>
      </c>
      <c r="K55" s="31">
        <f t="shared" si="1"/>
        <v>0</v>
      </c>
      <c r="L55" s="33"/>
      <c r="M55" s="34"/>
    </row>
    <row r="56" spans="1:13" ht="34.5" customHeight="1" x14ac:dyDescent="0.25">
      <c r="A56" s="26" t="s">
        <v>71</v>
      </c>
      <c r="B56" s="101" t="s">
        <v>749</v>
      </c>
      <c r="C56" s="27" t="s">
        <v>1283</v>
      </c>
      <c r="D56" s="28" t="s">
        <v>1299</v>
      </c>
      <c r="E56" s="36"/>
      <c r="F56" s="36" t="s">
        <v>688</v>
      </c>
      <c r="G56" s="30">
        <v>33162932487</v>
      </c>
      <c r="H56" s="31">
        <v>1200</v>
      </c>
      <c r="I56" s="32" t="s">
        <v>1016</v>
      </c>
      <c r="J56" s="32" t="b">
        <f t="shared" si="0"/>
        <v>0</v>
      </c>
      <c r="K56" s="31">
        <f t="shared" si="1"/>
        <v>0</v>
      </c>
      <c r="L56" s="33"/>
      <c r="M56" s="34"/>
    </row>
    <row r="57" spans="1:13" ht="34.5" customHeight="1" x14ac:dyDescent="0.25">
      <c r="A57" s="26" t="s">
        <v>72</v>
      </c>
      <c r="B57" s="101" t="s">
        <v>661</v>
      </c>
      <c r="C57" s="27" t="s">
        <v>1283</v>
      </c>
      <c r="D57" s="28" t="s">
        <v>1299</v>
      </c>
      <c r="E57" s="36"/>
      <c r="F57" s="36" t="s">
        <v>662</v>
      </c>
      <c r="G57" s="30">
        <v>273950340249</v>
      </c>
      <c r="H57" s="31"/>
      <c r="I57" s="32" t="s">
        <v>1016</v>
      </c>
      <c r="J57" s="32" t="b">
        <f t="shared" si="0"/>
        <v>0</v>
      </c>
      <c r="K57" s="31">
        <f t="shared" si="1"/>
        <v>0</v>
      </c>
      <c r="L57" s="33"/>
      <c r="M57" s="34"/>
    </row>
    <row r="58" spans="1:13" ht="34.5" customHeight="1" x14ac:dyDescent="0.25">
      <c r="A58" s="26" t="s">
        <v>73</v>
      </c>
      <c r="B58" s="101" t="s">
        <v>720</v>
      </c>
      <c r="C58" s="27" t="s">
        <v>1123</v>
      </c>
      <c r="D58" s="28" t="s">
        <v>1377</v>
      </c>
      <c r="E58" s="36"/>
      <c r="F58" s="36" t="s">
        <v>688</v>
      </c>
      <c r="G58" s="30">
        <v>14675695273</v>
      </c>
      <c r="H58" s="31"/>
      <c r="I58" s="32" t="s">
        <v>1016</v>
      </c>
      <c r="J58" s="32" t="b">
        <f t="shared" si="0"/>
        <v>0</v>
      </c>
      <c r="K58" s="31">
        <f t="shared" si="1"/>
        <v>0</v>
      </c>
      <c r="L58" s="33"/>
      <c r="M58" s="34"/>
    </row>
    <row r="59" spans="1:13" ht="34.5" customHeight="1" x14ac:dyDescent="0.25">
      <c r="A59" s="26" t="s">
        <v>74</v>
      </c>
      <c r="B59" s="101" t="s">
        <v>751</v>
      </c>
      <c r="C59" s="27" t="s">
        <v>750</v>
      </c>
      <c r="D59" s="28" t="s">
        <v>1299</v>
      </c>
      <c r="E59" s="36"/>
      <c r="F59" s="36" t="s">
        <v>752</v>
      </c>
      <c r="G59" s="30" t="s">
        <v>840</v>
      </c>
      <c r="H59" s="31"/>
      <c r="I59" s="32" t="s">
        <v>1016</v>
      </c>
      <c r="J59" s="32" t="b">
        <f t="shared" si="0"/>
        <v>0</v>
      </c>
      <c r="K59" s="31">
        <f t="shared" si="1"/>
        <v>0</v>
      </c>
      <c r="L59" s="33"/>
      <c r="M59" s="34"/>
    </row>
    <row r="60" spans="1:13" ht="34.5" customHeight="1" x14ac:dyDescent="0.25">
      <c r="A60" s="26" t="s">
        <v>75</v>
      </c>
      <c r="B60" s="101" t="s">
        <v>630</v>
      </c>
      <c r="C60" s="27" t="s">
        <v>1380</v>
      </c>
      <c r="D60" s="28" t="s">
        <v>981</v>
      </c>
      <c r="E60" s="36"/>
      <c r="F60" s="36" t="s">
        <v>654</v>
      </c>
      <c r="G60" s="30" t="s">
        <v>840</v>
      </c>
      <c r="H60" s="31"/>
      <c r="I60" s="32" t="s">
        <v>1016</v>
      </c>
      <c r="J60" s="32" t="b">
        <f t="shared" si="0"/>
        <v>0</v>
      </c>
      <c r="K60" s="31">
        <f t="shared" si="1"/>
        <v>0</v>
      </c>
      <c r="L60" s="33"/>
      <c r="M60" s="34"/>
    </row>
    <row r="61" spans="1:13" ht="34.5" customHeight="1" x14ac:dyDescent="0.25">
      <c r="A61" s="26" t="s">
        <v>76</v>
      </c>
      <c r="B61" s="101" t="s">
        <v>636</v>
      </c>
      <c r="C61" s="27" t="s">
        <v>750</v>
      </c>
      <c r="D61" s="28" t="s">
        <v>1299</v>
      </c>
      <c r="E61" s="36" t="s">
        <v>753</v>
      </c>
      <c r="F61" s="36"/>
      <c r="G61" s="30" t="s">
        <v>754</v>
      </c>
      <c r="H61" s="31"/>
      <c r="I61" s="32" t="s">
        <v>1016</v>
      </c>
      <c r="J61" s="32" t="b">
        <f t="shared" si="0"/>
        <v>0</v>
      </c>
      <c r="K61" s="31">
        <f t="shared" si="1"/>
        <v>0</v>
      </c>
      <c r="L61" s="33"/>
      <c r="M61" s="34"/>
    </row>
    <row r="62" spans="1:13" ht="34.5" customHeight="1" x14ac:dyDescent="0.25">
      <c r="A62" s="26" t="s">
        <v>77</v>
      </c>
      <c r="B62" s="101" t="s">
        <v>663</v>
      </c>
      <c r="C62" s="27" t="s">
        <v>750</v>
      </c>
      <c r="D62" s="28" t="s">
        <v>1299</v>
      </c>
      <c r="E62" s="36"/>
      <c r="F62" s="36" t="s">
        <v>755</v>
      </c>
      <c r="G62" s="30" t="s">
        <v>840</v>
      </c>
      <c r="H62" s="31"/>
      <c r="I62" s="32" t="s">
        <v>1016</v>
      </c>
      <c r="J62" s="32" t="b">
        <f t="shared" si="0"/>
        <v>0</v>
      </c>
      <c r="K62" s="31">
        <f t="shared" si="1"/>
        <v>0</v>
      </c>
      <c r="L62" s="33"/>
      <c r="M62" s="34"/>
    </row>
    <row r="63" spans="1:13" ht="34.5" customHeight="1" x14ac:dyDescent="0.25">
      <c r="A63" s="26" t="s">
        <v>78</v>
      </c>
      <c r="B63" s="101" t="s">
        <v>640</v>
      </c>
      <c r="C63" s="27" t="s">
        <v>750</v>
      </c>
      <c r="D63" s="28" t="s">
        <v>1299</v>
      </c>
      <c r="E63" s="36"/>
      <c r="F63" s="36" t="s">
        <v>755</v>
      </c>
      <c r="G63" s="30" t="s">
        <v>756</v>
      </c>
      <c r="H63" s="31"/>
      <c r="I63" s="32" t="s">
        <v>1016</v>
      </c>
      <c r="J63" s="32" t="b">
        <f t="shared" si="0"/>
        <v>0</v>
      </c>
      <c r="K63" s="31">
        <f t="shared" si="1"/>
        <v>0</v>
      </c>
      <c r="L63" s="33"/>
      <c r="M63" s="34"/>
    </row>
    <row r="64" spans="1:13" ht="34.5" customHeight="1" x14ac:dyDescent="0.25">
      <c r="A64" s="26" t="s">
        <v>79</v>
      </c>
      <c r="B64" s="101" t="s">
        <v>640</v>
      </c>
      <c r="C64" s="27" t="s">
        <v>1283</v>
      </c>
      <c r="D64" s="28" t="s">
        <v>1299</v>
      </c>
      <c r="E64" s="36"/>
      <c r="F64" s="36" t="s">
        <v>688</v>
      </c>
      <c r="G64" s="30" t="s">
        <v>759</v>
      </c>
      <c r="H64" s="31"/>
      <c r="I64" s="32" t="s">
        <v>1016</v>
      </c>
      <c r="J64" s="32" t="b">
        <f t="shared" si="0"/>
        <v>0</v>
      </c>
      <c r="K64" s="31">
        <f t="shared" si="1"/>
        <v>0</v>
      </c>
      <c r="L64" s="33"/>
      <c r="M64" s="34"/>
    </row>
    <row r="65" spans="1:13" ht="34.5" customHeight="1" x14ac:dyDescent="0.25">
      <c r="A65" s="26" t="s">
        <v>80</v>
      </c>
      <c r="B65" s="101" t="s">
        <v>636</v>
      </c>
      <c r="C65" s="27" t="s">
        <v>1283</v>
      </c>
      <c r="D65" s="28" t="s">
        <v>1299</v>
      </c>
      <c r="E65" s="36"/>
      <c r="F65" s="36" t="s">
        <v>654</v>
      </c>
      <c r="G65" s="30" t="s">
        <v>760</v>
      </c>
      <c r="H65" s="31"/>
      <c r="I65" s="32" t="s">
        <v>1016</v>
      </c>
      <c r="J65" s="32" t="b">
        <f t="shared" si="0"/>
        <v>0</v>
      </c>
      <c r="K65" s="31">
        <f t="shared" si="1"/>
        <v>0</v>
      </c>
      <c r="L65" s="33"/>
      <c r="M65" s="34"/>
    </row>
    <row r="66" spans="1:13" ht="34.5" customHeight="1" x14ac:dyDescent="0.25">
      <c r="A66" s="26" t="s">
        <v>81</v>
      </c>
      <c r="B66" s="101" t="s">
        <v>701</v>
      </c>
      <c r="C66" s="27" t="s">
        <v>1283</v>
      </c>
      <c r="D66" s="28" t="s">
        <v>1299</v>
      </c>
      <c r="E66" s="36" t="s">
        <v>702</v>
      </c>
      <c r="F66" s="36" t="s">
        <v>703</v>
      </c>
      <c r="G66" s="30" t="s">
        <v>761</v>
      </c>
      <c r="H66" s="31"/>
      <c r="I66" s="32" t="s">
        <v>1016</v>
      </c>
      <c r="J66" s="32" t="b">
        <f t="shared" ref="J66:J125" si="2">IF(I66="b","0,6",IF(I66="r","0,2",IF(I66="o",0.8)))</f>
        <v>0</v>
      </c>
      <c r="K66" s="31">
        <f t="shared" ref="K66:K125" si="3">J66*H66</f>
        <v>0</v>
      </c>
      <c r="L66" s="33"/>
      <c r="M66" s="34"/>
    </row>
    <row r="67" spans="1:13" ht="34.5" customHeight="1" x14ac:dyDescent="0.25">
      <c r="A67" s="26" t="s">
        <v>82</v>
      </c>
      <c r="B67" s="101" t="s">
        <v>661</v>
      </c>
      <c r="C67" s="27" t="s">
        <v>631</v>
      </c>
      <c r="D67" s="28" t="s">
        <v>1005</v>
      </c>
      <c r="E67" s="36"/>
      <c r="F67" s="36" t="s">
        <v>762</v>
      </c>
      <c r="G67" s="30">
        <v>201066227</v>
      </c>
      <c r="H67" s="31"/>
      <c r="I67" s="32" t="s">
        <v>1016</v>
      </c>
      <c r="J67" s="32" t="b">
        <f t="shared" si="2"/>
        <v>0</v>
      </c>
      <c r="K67" s="31">
        <f t="shared" si="3"/>
        <v>0</v>
      </c>
      <c r="L67" s="33"/>
      <c r="M67" s="34"/>
    </row>
    <row r="68" spans="1:13" ht="34.5" customHeight="1" x14ac:dyDescent="0.25">
      <c r="A68" s="26" t="s">
        <v>84</v>
      </c>
      <c r="B68" s="101" t="s">
        <v>763</v>
      </c>
      <c r="C68" s="27" t="s">
        <v>957</v>
      </c>
      <c r="D68" s="28" t="s">
        <v>1359</v>
      </c>
      <c r="E68" s="36" t="s">
        <v>765</v>
      </c>
      <c r="F68" s="36" t="s">
        <v>766</v>
      </c>
      <c r="G68" s="41" t="s">
        <v>767</v>
      </c>
      <c r="H68" s="31"/>
      <c r="I68" s="32" t="s">
        <v>1016</v>
      </c>
      <c r="J68" s="32" t="b">
        <f t="shared" si="2"/>
        <v>0</v>
      </c>
      <c r="K68" s="31">
        <f t="shared" si="3"/>
        <v>0</v>
      </c>
      <c r="L68" s="33"/>
      <c r="M68" s="34"/>
    </row>
    <row r="69" spans="1:13" ht="34.5" customHeight="1" x14ac:dyDescent="0.25">
      <c r="A69" s="26" t="s">
        <v>85</v>
      </c>
      <c r="B69" s="101" t="s">
        <v>768</v>
      </c>
      <c r="C69" s="27" t="s">
        <v>1380</v>
      </c>
      <c r="D69" s="28" t="s">
        <v>1299</v>
      </c>
      <c r="E69" s="36" t="s">
        <v>769</v>
      </c>
      <c r="F69" s="36" t="s">
        <v>770</v>
      </c>
      <c r="G69" s="41" t="s">
        <v>771</v>
      </c>
      <c r="H69" s="31"/>
      <c r="I69" s="32" t="s">
        <v>1102</v>
      </c>
      <c r="J69" s="32" t="b">
        <f t="shared" si="2"/>
        <v>0</v>
      </c>
      <c r="K69" s="31">
        <f t="shared" si="3"/>
        <v>0</v>
      </c>
      <c r="L69" s="33"/>
      <c r="M69" s="34"/>
    </row>
    <row r="70" spans="1:13" ht="34.5" customHeight="1" x14ac:dyDescent="0.25">
      <c r="A70" s="26" t="s">
        <v>86</v>
      </c>
      <c r="B70" s="101" t="s">
        <v>772</v>
      </c>
      <c r="C70" s="27" t="s">
        <v>1376</v>
      </c>
      <c r="D70" s="28" t="s">
        <v>1009</v>
      </c>
      <c r="E70" s="36"/>
      <c r="F70" s="36" t="s">
        <v>775</v>
      </c>
      <c r="G70" s="30" t="s">
        <v>840</v>
      </c>
      <c r="H70" s="31">
        <v>2500</v>
      </c>
      <c r="I70" s="32" t="s">
        <v>1102</v>
      </c>
      <c r="J70" s="32" t="b">
        <f t="shared" si="2"/>
        <v>0</v>
      </c>
      <c r="K70" s="31">
        <f t="shared" si="3"/>
        <v>0</v>
      </c>
      <c r="L70" s="33"/>
      <c r="M70" s="34"/>
    </row>
    <row r="71" spans="1:13" ht="34.5" customHeight="1" x14ac:dyDescent="0.25">
      <c r="A71" s="26" t="s">
        <v>87</v>
      </c>
      <c r="B71" s="101" t="s">
        <v>776</v>
      </c>
      <c r="C71" s="27" t="s">
        <v>1376</v>
      </c>
      <c r="D71" s="28" t="s">
        <v>1009</v>
      </c>
      <c r="E71" s="36"/>
      <c r="F71" s="36" t="s">
        <v>775</v>
      </c>
      <c r="G71" s="30" t="s">
        <v>840</v>
      </c>
      <c r="H71" s="31">
        <v>2500</v>
      </c>
      <c r="I71" s="32" t="s">
        <v>1102</v>
      </c>
      <c r="J71" s="32" t="b">
        <f t="shared" si="2"/>
        <v>0</v>
      </c>
      <c r="K71" s="31">
        <f t="shared" si="3"/>
        <v>0</v>
      </c>
      <c r="L71" s="33"/>
      <c r="M71" s="34"/>
    </row>
    <row r="72" spans="1:13" ht="34.5" customHeight="1" x14ac:dyDescent="0.25">
      <c r="A72" s="26" t="s">
        <v>88</v>
      </c>
      <c r="B72" s="101" t="s">
        <v>777</v>
      </c>
      <c r="C72" s="27" t="s">
        <v>1376</v>
      </c>
      <c r="D72" s="28" t="s">
        <v>1009</v>
      </c>
      <c r="E72" s="36"/>
      <c r="F72" s="36" t="s">
        <v>775</v>
      </c>
      <c r="G72" s="30" t="s">
        <v>840</v>
      </c>
      <c r="H72" s="31">
        <v>2500</v>
      </c>
      <c r="I72" s="32" t="s">
        <v>1102</v>
      </c>
      <c r="J72" s="32" t="b">
        <f t="shared" si="2"/>
        <v>0</v>
      </c>
      <c r="K72" s="31">
        <f t="shared" si="3"/>
        <v>0</v>
      </c>
      <c r="L72" s="33"/>
      <c r="M72" s="34"/>
    </row>
    <row r="73" spans="1:13" ht="34.5" customHeight="1" x14ac:dyDescent="0.25">
      <c r="A73" s="26" t="s">
        <v>89</v>
      </c>
      <c r="B73" s="101" t="s">
        <v>778</v>
      </c>
      <c r="C73" s="27" t="s">
        <v>1376</v>
      </c>
      <c r="D73" s="28" t="s">
        <v>1009</v>
      </c>
      <c r="E73" s="36"/>
      <c r="F73" s="36" t="s">
        <v>775</v>
      </c>
      <c r="G73" s="30" t="s">
        <v>840</v>
      </c>
      <c r="H73" s="31"/>
      <c r="I73" s="32" t="s">
        <v>1102</v>
      </c>
      <c r="J73" s="32" t="b">
        <f t="shared" si="2"/>
        <v>0</v>
      </c>
      <c r="K73" s="31">
        <f t="shared" si="3"/>
        <v>0</v>
      </c>
      <c r="L73" s="33"/>
      <c r="M73" s="34"/>
    </row>
    <row r="74" spans="1:13" ht="34.5" customHeight="1" x14ac:dyDescent="0.25">
      <c r="A74" s="26" t="s">
        <v>90</v>
      </c>
      <c r="B74" s="101" t="s">
        <v>779</v>
      </c>
      <c r="C74" s="27" t="s">
        <v>1376</v>
      </c>
      <c r="D74" s="28" t="s">
        <v>1009</v>
      </c>
      <c r="E74" s="36"/>
      <c r="F74" s="36" t="s">
        <v>780</v>
      </c>
      <c r="G74" s="30" t="s">
        <v>840</v>
      </c>
      <c r="H74" s="31"/>
      <c r="I74" s="32" t="s">
        <v>1102</v>
      </c>
      <c r="J74" s="32" t="b">
        <f t="shared" si="2"/>
        <v>0</v>
      </c>
      <c r="K74" s="31">
        <f t="shared" si="3"/>
        <v>0</v>
      </c>
      <c r="L74" s="33"/>
      <c r="M74" s="34"/>
    </row>
    <row r="75" spans="1:13" ht="34.5" customHeight="1" x14ac:dyDescent="0.25">
      <c r="A75" s="26" t="s">
        <v>91</v>
      </c>
      <c r="B75" s="101" t="s">
        <v>781</v>
      </c>
      <c r="C75" s="27" t="s">
        <v>1380</v>
      </c>
      <c r="D75" s="28" t="s">
        <v>948</v>
      </c>
      <c r="E75" s="36"/>
      <c r="F75" s="36" t="s">
        <v>782</v>
      </c>
      <c r="G75" s="30" t="s">
        <v>840</v>
      </c>
      <c r="H75" s="31"/>
      <c r="I75" s="32" t="s">
        <v>1102</v>
      </c>
      <c r="J75" s="32" t="b">
        <f t="shared" si="2"/>
        <v>0</v>
      </c>
      <c r="K75" s="31">
        <f t="shared" si="3"/>
        <v>0</v>
      </c>
      <c r="L75" s="33"/>
      <c r="M75" s="34"/>
    </row>
    <row r="76" spans="1:13" ht="34.5" customHeight="1" x14ac:dyDescent="0.25">
      <c r="A76" s="26" t="s">
        <v>92</v>
      </c>
      <c r="B76" s="101" t="s">
        <v>783</v>
      </c>
      <c r="C76" s="27" t="s">
        <v>1380</v>
      </c>
      <c r="D76" s="28" t="s">
        <v>948</v>
      </c>
      <c r="E76" s="36"/>
      <c r="F76" s="36" t="s">
        <v>784</v>
      </c>
      <c r="G76" s="30" t="s">
        <v>840</v>
      </c>
      <c r="H76" s="31"/>
      <c r="I76" s="32" t="s">
        <v>1102</v>
      </c>
      <c r="J76" s="32" t="b">
        <f t="shared" si="2"/>
        <v>0</v>
      </c>
      <c r="K76" s="31">
        <f t="shared" si="3"/>
        <v>0</v>
      </c>
      <c r="L76" s="33"/>
      <c r="M76" s="34"/>
    </row>
    <row r="77" spans="1:13" ht="34.5" customHeight="1" x14ac:dyDescent="0.25">
      <c r="A77" s="26" t="s">
        <v>93</v>
      </c>
      <c r="B77" s="101" t="s">
        <v>785</v>
      </c>
      <c r="C77" s="27" t="s">
        <v>1376</v>
      </c>
      <c r="D77" s="28" t="s">
        <v>1009</v>
      </c>
      <c r="E77" s="36"/>
      <c r="F77" s="36" t="s">
        <v>786</v>
      </c>
      <c r="G77" s="30" t="s">
        <v>840</v>
      </c>
      <c r="H77" s="31"/>
      <c r="I77" s="32" t="s">
        <v>1102</v>
      </c>
      <c r="J77" s="32" t="b">
        <f t="shared" si="2"/>
        <v>0</v>
      </c>
      <c r="K77" s="31">
        <f t="shared" si="3"/>
        <v>0</v>
      </c>
      <c r="L77" s="33"/>
      <c r="M77" s="34"/>
    </row>
    <row r="78" spans="1:13" ht="34.5" customHeight="1" x14ac:dyDescent="0.25">
      <c r="A78" s="26" t="s">
        <v>94</v>
      </c>
      <c r="B78" s="101" t="s">
        <v>787</v>
      </c>
      <c r="C78" s="27" t="s">
        <v>1376</v>
      </c>
      <c r="D78" s="28" t="s">
        <v>1009</v>
      </c>
      <c r="E78" s="36"/>
      <c r="F78" s="36" t="s">
        <v>782</v>
      </c>
      <c r="G78" s="30" t="s">
        <v>840</v>
      </c>
      <c r="H78" s="31"/>
      <c r="I78" s="32" t="s">
        <v>1102</v>
      </c>
      <c r="J78" s="32" t="b">
        <f t="shared" si="2"/>
        <v>0</v>
      </c>
      <c r="K78" s="31">
        <f t="shared" si="3"/>
        <v>0</v>
      </c>
      <c r="L78" s="33"/>
      <c r="M78" s="34"/>
    </row>
    <row r="79" spans="1:13" ht="34.5" customHeight="1" x14ac:dyDescent="0.25">
      <c r="A79" s="26" t="s">
        <v>95</v>
      </c>
      <c r="B79" s="101" t="s">
        <v>788</v>
      </c>
      <c r="C79" s="27" t="s">
        <v>1376</v>
      </c>
      <c r="D79" s="28" t="s">
        <v>1009</v>
      </c>
      <c r="E79" s="36"/>
      <c r="F79" s="36" t="s">
        <v>782</v>
      </c>
      <c r="G79" s="30" t="s">
        <v>840</v>
      </c>
      <c r="H79" s="31"/>
      <c r="I79" s="32" t="s">
        <v>1102</v>
      </c>
      <c r="J79" s="32" t="b">
        <f t="shared" si="2"/>
        <v>0</v>
      </c>
      <c r="K79" s="31">
        <f t="shared" si="3"/>
        <v>0</v>
      </c>
      <c r="L79" s="33"/>
      <c r="M79" s="34"/>
    </row>
    <row r="80" spans="1:13" ht="34.5" customHeight="1" x14ac:dyDescent="0.25">
      <c r="A80" s="26" t="s">
        <v>96</v>
      </c>
      <c r="B80" s="100" t="s">
        <v>789</v>
      </c>
      <c r="C80" s="27" t="s">
        <v>1376</v>
      </c>
      <c r="D80" s="28" t="s">
        <v>979</v>
      </c>
      <c r="E80" s="36"/>
      <c r="F80" s="36" t="s">
        <v>790</v>
      </c>
      <c r="G80" s="30" t="s">
        <v>840</v>
      </c>
      <c r="H80" s="31">
        <v>500</v>
      </c>
      <c r="I80" s="32" t="s">
        <v>1102</v>
      </c>
      <c r="J80" s="32" t="b">
        <f t="shared" si="2"/>
        <v>0</v>
      </c>
      <c r="K80" s="31">
        <f t="shared" si="3"/>
        <v>0</v>
      </c>
      <c r="L80" s="33"/>
      <c r="M80" s="34"/>
    </row>
    <row r="81" spans="1:13" ht="34.5" customHeight="1" x14ac:dyDescent="0.25">
      <c r="A81" s="26" t="s">
        <v>97</v>
      </c>
      <c r="B81" s="101" t="s">
        <v>791</v>
      </c>
      <c r="C81" s="27" t="s">
        <v>1376</v>
      </c>
      <c r="D81" s="28" t="s">
        <v>1009</v>
      </c>
      <c r="E81" s="36"/>
      <c r="F81" s="36" t="s">
        <v>792</v>
      </c>
      <c r="G81" s="30" t="s">
        <v>840</v>
      </c>
      <c r="H81" s="31">
        <v>5000</v>
      </c>
      <c r="I81" s="32" t="s">
        <v>1102</v>
      </c>
      <c r="J81" s="32" t="b">
        <f t="shared" si="2"/>
        <v>0</v>
      </c>
      <c r="K81" s="31">
        <f t="shared" si="3"/>
        <v>0</v>
      </c>
      <c r="L81" s="33"/>
      <c r="M81" s="34"/>
    </row>
    <row r="82" spans="1:13" ht="34.5" customHeight="1" x14ac:dyDescent="0.25">
      <c r="A82" s="26" t="s">
        <v>98</v>
      </c>
      <c r="B82" s="101" t="s">
        <v>793</v>
      </c>
      <c r="C82" s="27" t="s">
        <v>1376</v>
      </c>
      <c r="D82" s="28" t="s">
        <v>1009</v>
      </c>
      <c r="E82" s="36"/>
      <c r="F82" s="36" t="s">
        <v>782</v>
      </c>
      <c r="G82" s="30" t="s">
        <v>840</v>
      </c>
      <c r="H82" s="31"/>
      <c r="I82" s="32" t="s">
        <v>1102</v>
      </c>
      <c r="J82" s="32" t="b">
        <f t="shared" si="2"/>
        <v>0</v>
      </c>
      <c r="K82" s="31">
        <f t="shared" si="3"/>
        <v>0</v>
      </c>
      <c r="L82" s="33"/>
      <c r="M82" s="34"/>
    </row>
    <row r="83" spans="1:13" ht="34.5" customHeight="1" x14ac:dyDescent="0.25">
      <c r="A83" s="26" t="s">
        <v>100</v>
      </c>
      <c r="B83" s="101" t="s">
        <v>795</v>
      </c>
      <c r="C83" s="27" t="s">
        <v>1380</v>
      </c>
      <c r="D83" s="28" t="s">
        <v>1377</v>
      </c>
      <c r="E83" s="36"/>
      <c r="F83" s="36" t="s">
        <v>796</v>
      </c>
      <c r="G83" s="30" t="s">
        <v>840</v>
      </c>
      <c r="H83" s="31">
        <v>1100</v>
      </c>
      <c r="I83" s="32" t="s">
        <v>1102</v>
      </c>
      <c r="J83" s="32" t="b">
        <f t="shared" si="2"/>
        <v>0</v>
      </c>
      <c r="K83" s="31">
        <f t="shared" si="3"/>
        <v>0</v>
      </c>
      <c r="L83" s="33"/>
      <c r="M83" s="34"/>
    </row>
    <row r="84" spans="1:13" ht="34.5" customHeight="1" x14ac:dyDescent="0.25">
      <c r="A84" s="26" t="s">
        <v>101</v>
      </c>
      <c r="B84" s="101" t="s">
        <v>797</v>
      </c>
      <c r="C84" s="27" t="s">
        <v>1380</v>
      </c>
      <c r="D84" s="28" t="s">
        <v>668</v>
      </c>
      <c r="E84" s="36"/>
      <c r="F84" s="36" t="s">
        <v>796</v>
      </c>
      <c r="G84" s="30" t="s">
        <v>840</v>
      </c>
      <c r="H84" s="31">
        <v>1200</v>
      </c>
      <c r="I84" s="32" t="s">
        <v>1102</v>
      </c>
      <c r="J84" s="32" t="b">
        <f t="shared" si="2"/>
        <v>0</v>
      </c>
      <c r="K84" s="31">
        <f t="shared" si="3"/>
        <v>0</v>
      </c>
      <c r="L84" s="33"/>
      <c r="M84" s="34"/>
    </row>
    <row r="85" spans="1:13" ht="34.5" customHeight="1" x14ac:dyDescent="0.25">
      <c r="A85" s="26" t="s">
        <v>102</v>
      </c>
      <c r="B85" s="101" t="s">
        <v>798</v>
      </c>
      <c r="C85" s="27" t="s">
        <v>1380</v>
      </c>
      <c r="D85" s="28" t="s">
        <v>668</v>
      </c>
      <c r="E85" s="36"/>
      <c r="F85" s="36" t="s">
        <v>799</v>
      </c>
      <c r="G85" s="30" t="s">
        <v>840</v>
      </c>
      <c r="H85" s="31"/>
      <c r="I85" s="32" t="s">
        <v>1102</v>
      </c>
      <c r="J85" s="32" t="b">
        <f t="shared" si="2"/>
        <v>0</v>
      </c>
      <c r="K85" s="31">
        <f t="shared" si="3"/>
        <v>0</v>
      </c>
      <c r="L85" s="33"/>
      <c r="M85" s="34"/>
    </row>
    <row r="86" spans="1:13" ht="34.5" customHeight="1" x14ac:dyDescent="0.25">
      <c r="A86" s="26" t="s">
        <v>103</v>
      </c>
      <c r="B86" s="101" t="s">
        <v>800</v>
      </c>
      <c r="C86" s="27" t="s">
        <v>1380</v>
      </c>
      <c r="D86" s="28" t="s">
        <v>668</v>
      </c>
      <c r="E86" s="36"/>
      <c r="F86" s="36" t="s">
        <v>801</v>
      </c>
      <c r="G86" s="30" t="s">
        <v>840</v>
      </c>
      <c r="H86" s="31"/>
      <c r="I86" s="32" t="s">
        <v>1102</v>
      </c>
      <c r="J86" s="32" t="b">
        <f t="shared" si="2"/>
        <v>0</v>
      </c>
      <c r="K86" s="31">
        <f t="shared" si="3"/>
        <v>0</v>
      </c>
      <c r="L86" s="33"/>
      <c r="M86" s="34"/>
    </row>
    <row r="87" spans="1:13" ht="34.5" customHeight="1" x14ac:dyDescent="0.25">
      <c r="A87" s="26" t="s">
        <v>104</v>
      </c>
      <c r="B87" s="101" t="s">
        <v>800</v>
      </c>
      <c r="C87" s="27" t="s">
        <v>1380</v>
      </c>
      <c r="D87" s="28" t="s">
        <v>668</v>
      </c>
      <c r="E87" s="36"/>
      <c r="F87" s="36" t="s">
        <v>802</v>
      </c>
      <c r="G87" s="30" t="s">
        <v>840</v>
      </c>
      <c r="H87" s="31"/>
      <c r="I87" s="32" t="s">
        <v>1102</v>
      </c>
      <c r="J87" s="32" t="b">
        <f t="shared" si="2"/>
        <v>0</v>
      </c>
      <c r="K87" s="31">
        <f t="shared" si="3"/>
        <v>0</v>
      </c>
      <c r="L87" s="33"/>
      <c r="M87" s="34"/>
    </row>
    <row r="88" spans="1:13" ht="34.5" customHeight="1" x14ac:dyDescent="0.25">
      <c r="A88" s="26" t="s">
        <v>105</v>
      </c>
      <c r="B88" s="104" t="s">
        <v>800</v>
      </c>
      <c r="C88" s="27" t="s">
        <v>1376</v>
      </c>
      <c r="D88" s="28" t="s">
        <v>979</v>
      </c>
      <c r="E88" s="36"/>
      <c r="F88" s="36" t="s">
        <v>802</v>
      </c>
      <c r="G88" s="30" t="s">
        <v>840</v>
      </c>
      <c r="H88" s="31"/>
      <c r="I88" s="32" t="s">
        <v>1102</v>
      </c>
      <c r="J88" s="32" t="b">
        <f t="shared" si="2"/>
        <v>0</v>
      </c>
      <c r="K88" s="31">
        <f t="shared" si="3"/>
        <v>0</v>
      </c>
      <c r="L88" s="33"/>
      <c r="M88" s="34"/>
    </row>
    <row r="89" spans="1:13" ht="34.5" customHeight="1" x14ac:dyDescent="0.25">
      <c r="A89" s="26" t="s">
        <v>106</v>
      </c>
      <c r="B89" s="104" t="s">
        <v>803</v>
      </c>
      <c r="C89" s="27" t="s">
        <v>1376</v>
      </c>
      <c r="D89" s="28" t="s">
        <v>979</v>
      </c>
      <c r="E89" s="36"/>
      <c r="F89" s="36" t="s">
        <v>786</v>
      </c>
      <c r="G89" s="30" t="s">
        <v>840</v>
      </c>
      <c r="H89" s="31"/>
      <c r="I89" s="32" t="s">
        <v>1102</v>
      </c>
      <c r="J89" s="32" t="b">
        <f t="shared" si="2"/>
        <v>0</v>
      </c>
      <c r="K89" s="31">
        <f t="shared" si="3"/>
        <v>0</v>
      </c>
      <c r="L89" s="33"/>
      <c r="M89" s="34"/>
    </row>
    <row r="90" spans="1:13" ht="34.5" customHeight="1" x14ac:dyDescent="0.25">
      <c r="A90" s="26" t="s">
        <v>107</v>
      </c>
      <c r="B90" s="104" t="s">
        <v>804</v>
      </c>
      <c r="C90" s="27" t="s">
        <v>1376</v>
      </c>
      <c r="D90" s="28" t="s">
        <v>979</v>
      </c>
      <c r="E90" s="36"/>
      <c r="F90" s="36" t="s">
        <v>782</v>
      </c>
      <c r="G90" s="30" t="s">
        <v>840</v>
      </c>
      <c r="H90" s="31"/>
      <c r="I90" s="32" t="s">
        <v>1102</v>
      </c>
      <c r="J90" s="32" t="b">
        <f t="shared" si="2"/>
        <v>0</v>
      </c>
      <c r="K90" s="31">
        <f t="shared" si="3"/>
        <v>0</v>
      </c>
      <c r="L90" s="33"/>
      <c r="M90" s="34"/>
    </row>
    <row r="91" spans="1:13" ht="34.5" customHeight="1" x14ac:dyDescent="0.25">
      <c r="A91" s="26" t="s">
        <v>108</v>
      </c>
      <c r="B91" s="104" t="s">
        <v>813</v>
      </c>
      <c r="C91" s="27" t="s">
        <v>1376</v>
      </c>
      <c r="D91" s="28" t="s">
        <v>979</v>
      </c>
      <c r="E91" s="36"/>
      <c r="F91" s="36" t="s">
        <v>782</v>
      </c>
      <c r="G91" s="30" t="s">
        <v>840</v>
      </c>
      <c r="H91" s="31"/>
      <c r="I91" s="32" t="s">
        <v>1102</v>
      </c>
      <c r="J91" s="32" t="b">
        <f t="shared" si="2"/>
        <v>0</v>
      </c>
      <c r="K91" s="31">
        <f t="shared" si="3"/>
        <v>0</v>
      </c>
      <c r="L91" s="33"/>
      <c r="M91" s="34"/>
    </row>
    <row r="92" spans="1:13" ht="34.5" customHeight="1" x14ac:dyDescent="0.25">
      <c r="A92" s="26" t="s">
        <v>109</v>
      </c>
      <c r="B92" s="101" t="s">
        <v>805</v>
      </c>
      <c r="C92" s="27" t="s">
        <v>1380</v>
      </c>
      <c r="D92" s="28" t="s">
        <v>668</v>
      </c>
      <c r="E92" s="36"/>
      <c r="F92" s="36" t="s">
        <v>806</v>
      </c>
      <c r="G92" s="30" t="s">
        <v>840</v>
      </c>
      <c r="H92" s="31"/>
      <c r="I92" s="32" t="s">
        <v>1102</v>
      </c>
      <c r="J92" s="32" t="b">
        <f t="shared" si="2"/>
        <v>0</v>
      </c>
      <c r="K92" s="31">
        <f t="shared" si="3"/>
        <v>0</v>
      </c>
      <c r="L92" s="33"/>
      <c r="M92" s="34"/>
    </row>
    <row r="93" spans="1:13" ht="34.5" customHeight="1" x14ac:dyDescent="0.25">
      <c r="A93" s="26" t="s">
        <v>111</v>
      </c>
      <c r="B93" s="101" t="s">
        <v>808</v>
      </c>
      <c r="C93" s="27" t="s">
        <v>1376</v>
      </c>
      <c r="D93" s="28" t="s">
        <v>1009</v>
      </c>
      <c r="E93" s="36"/>
      <c r="F93" s="36" t="s">
        <v>809</v>
      </c>
      <c r="G93" s="30" t="s">
        <v>840</v>
      </c>
      <c r="H93" s="31">
        <v>350</v>
      </c>
      <c r="I93" s="32" t="s">
        <v>1102</v>
      </c>
      <c r="J93" s="32" t="b">
        <f t="shared" si="2"/>
        <v>0</v>
      </c>
      <c r="K93" s="31">
        <f t="shared" si="3"/>
        <v>0</v>
      </c>
      <c r="L93" s="33"/>
      <c r="M93" s="34"/>
    </row>
    <row r="94" spans="1:13" ht="34.5" customHeight="1" x14ac:dyDescent="0.25">
      <c r="A94" s="26" t="s">
        <v>112</v>
      </c>
      <c r="B94" s="101" t="s">
        <v>808</v>
      </c>
      <c r="C94" s="27" t="s">
        <v>1376</v>
      </c>
      <c r="D94" s="28" t="s">
        <v>1009</v>
      </c>
      <c r="E94" s="36"/>
      <c r="F94" s="36" t="s">
        <v>810</v>
      </c>
      <c r="G94" s="30" t="s">
        <v>840</v>
      </c>
      <c r="H94" s="31">
        <v>200</v>
      </c>
      <c r="I94" s="32" t="s">
        <v>1102</v>
      </c>
      <c r="J94" s="32" t="b">
        <f t="shared" si="2"/>
        <v>0</v>
      </c>
      <c r="K94" s="31">
        <f t="shared" si="3"/>
        <v>0</v>
      </c>
      <c r="L94" s="33"/>
      <c r="M94" s="34"/>
    </row>
    <row r="95" spans="1:13" ht="34.5" customHeight="1" x14ac:dyDescent="0.25">
      <c r="A95" s="26" t="s">
        <v>113</v>
      </c>
      <c r="B95" s="101" t="s">
        <v>811</v>
      </c>
      <c r="C95" s="27" t="s">
        <v>1376</v>
      </c>
      <c r="D95" s="28" t="s">
        <v>1009</v>
      </c>
      <c r="E95" s="36"/>
      <c r="F95" s="36" t="s">
        <v>812</v>
      </c>
      <c r="G95" s="30" t="s">
        <v>840</v>
      </c>
      <c r="H95" s="31"/>
      <c r="I95" s="32" t="s">
        <v>1102</v>
      </c>
      <c r="J95" s="32" t="b">
        <f t="shared" si="2"/>
        <v>0</v>
      </c>
      <c r="K95" s="31">
        <f t="shared" si="3"/>
        <v>0</v>
      </c>
      <c r="L95" s="33"/>
      <c r="M95" s="34"/>
    </row>
    <row r="96" spans="1:13" ht="34.5" customHeight="1" x14ac:dyDescent="0.25">
      <c r="A96" s="26" t="s">
        <v>114</v>
      </c>
      <c r="B96" s="100" t="s">
        <v>813</v>
      </c>
      <c r="C96" s="27" t="s">
        <v>1380</v>
      </c>
      <c r="D96" s="28" t="s">
        <v>668</v>
      </c>
      <c r="E96" s="36"/>
      <c r="F96" s="36" t="s">
        <v>814</v>
      </c>
      <c r="G96" s="30" t="s">
        <v>840</v>
      </c>
      <c r="H96" s="31"/>
      <c r="I96" s="32" t="s">
        <v>1102</v>
      </c>
      <c r="J96" s="32" t="b">
        <f t="shared" si="2"/>
        <v>0</v>
      </c>
      <c r="K96" s="31">
        <f t="shared" si="3"/>
        <v>0</v>
      </c>
      <c r="L96" s="33"/>
      <c r="M96" s="34"/>
    </row>
    <row r="97" spans="1:13" ht="34.5" customHeight="1" x14ac:dyDescent="0.25">
      <c r="A97" s="26" t="s">
        <v>115</v>
      </c>
      <c r="B97" s="100" t="s">
        <v>813</v>
      </c>
      <c r="C97" s="27" t="s">
        <v>1380</v>
      </c>
      <c r="D97" s="28" t="s">
        <v>668</v>
      </c>
      <c r="E97" s="36"/>
      <c r="F97" s="36" t="s">
        <v>782</v>
      </c>
      <c r="G97" s="30" t="s">
        <v>840</v>
      </c>
      <c r="H97" s="31"/>
      <c r="I97" s="32" t="s">
        <v>1102</v>
      </c>
      <c r="J97" s="32" t="b">
        <f t="shared" si="2"/>
        <v>0</v>
      </c>
      <c r="K97" s="31">
        <f t="shared" si="3"/>
        <v>0</v>
      </c>
      <c r="L97" s="33"/>
      <c r="M97" s="34"/>
    </row>
    <row r="98" spans="1:13" ht="34.5" customHeight="1" x14ac:dyDescent="0.25">
      <c r="A98" s="26" t="s">
        <v>116</v>
      </c>
      <c r="B98" s="101" t="s">
        <v>855</v>
      </c>
      <c r="C98" s="27" t="s">
        <v>1376</v>
      </c>
      <c r="D98" s="28" t="s">
        <v>1009</v>
      </c>
      <c r="E98" s="36"/>
      <c r="F98" s="36" t="s">
        <v>782</v>
      </c>
      <c r="G98" s="30" t="s">
        <v>840</v>
      </c>
      <c r="H98" s="31"/>
      <c r="I98" s="32" t="s">
        <v>1102</v>
      </c>
      <c r="J98" s="32" t="b">
        <f t="shared" si="2"/>
        <v>0</v>
      </c>
      <c r="K98" s="31">
        <f t="shared" si="3"/>
        <v>0</v>
      </c>
      <c r="L98" s="33"/>
      <c r="M98" s="34"/>
    </row>
    <row r="99" spans="1:13" ht="34.5" customHeight="1" x14ac:dyDescent="0.25">
      <c r="A99" s="26" t="s">
        <v>117</v>
      </c>
      <c r="B99" s="104" t="s">
        <v>815</v>
      </c>
      <c r="C99" s="27" t="s">
        <v>1376</v>
      </c>
      <c r="D99" s="28" t="s">
        <v>979</v>
      </c>
      <c r="E99" s="36"/>
      <c r="F99" s="36" t="s">
        <v>801</v>
      </c>
      <c r="G99" s="30" t="s">
        <v>840</v>
      </c>
      <c r="H99" s="31"/>
      <c r="I99" s="32" t="s">
        <v>1102</v>
      </c>
      <c r="J99" s="32" t="b">
        <f t="shared" si="2"/>
        <v>0</v>
      </c>
      <c r="K99" s="31">
        <f t="shared" si="3"/>
        <v>0</v>
      </c>
      <c r="L99" s="33"/>
      <c r="M99" s="34"/>
    </row>
    <row r="100" spans="1:13" ht="34.5" customHeight="1" x14ac:dyDescent="0.25">
      <c r="A100" s="26" t="s">
        <v>118</v>
      </c>
      <c r="B100" s="100" t="s">
        <v>816</v>
      </c>
      <c r="C100" s="27" t="s">
        <v>1380</v>
      </c>
      <c r="D100" s="28" t="s">
        <v>668</v>
      </c>
      <c r="E100" s="36"/>
      <c r="F100" s="36" t="s">
        <v>817</v>
      </c>
      <c r="G100" s="30" t="s">
        <v>840</v>
      </c>
      <c r="H100" s="31"/>
      <c r="I100" s="32" t="s">
        <v>1102</v>
      </c>
      <c r="J100" s="32" t="b">
        <f t="shared" si="2"/>
        <v>0</v>
      </c>
      <c r="K100" s="31">
        <f t="shared" si="3"/>
        <v>0</v>
      </c>
      <c r="L100" s="33"/>
      <c r="M100" s="34"/>
    </row>
    <row r="101" spans="1:13" ht="34.5" customHeight="1" x14ac:dyDescent="0.25">
      <c r="A101" s="26" t="s">
        <v>120</v>
      </c>
      <c r="B101" s="101" t="s">
        <v>816</v>
      </c>
      <c r="C101" s="27" t="s">
        <v>1380</v>
      </c>
      <c r="D101" s="28" t="s">
        <v>668</v>
      </c>
      <c r="E101" s="36"/>
      <c r="F101" s="36" t="s">
        <v>782</v>
      </c>
      <c r="G101" s="30" t="s">
        <v>840</v>
      </c>
      <c r="H101" s="31"/>
      <c r="I101" s="32" t="s">
        <v>1102</v>
      </c>
      <c r="J101" s="32" t="b">
        <f t="shared" si="2"/>
        <v>0</v>
      </c>
      <c r="K101" s="31">
        <f t="shared" si="3"/>
        <v>0</v>
      </c>
      <c r="L101" s="33"/>
      <c r="M101" s="34"/>
    </row>
    <row r="102" spans="1:13" ht="34.5" customHeight="1" x14ac:dyDescent="0.25">
      <c r="A102" s="51" t="s">
        <v>122</v>
      </c>
      <c r="B102" s="97" t="s">
        <v>986</v>
      </c>
      <c r="C102" s="27" t="s">
        <v>1380</v>
      </c>
      <c r="D102" s="46" t="s">
        <v>948</v>
      </c>
      <c r="E102" s="53" t="s">
        <v>989</v>
      </c>
      <c r="F102" s="53" t="s">
        <v>987</v>
      </c>
      <c r="G102" s="46" t="s">
        <v>988</v>
      </c>
      <c r="H102" s="31"/>
      <c r="I102" s="32" t="s">
        <v>1102</v>
      </c>
      <c r="J102" s="32" t="b">
        <f t="shared" si="2"/>
        <v>0</v>
      </c>
      <c r="K102" s="31">
        <f t="shared" si="3"/>
        <v>0</v>
      </c>
      <c r="L102" s="33"/>
      <c r="M102" s="34"/>
    </row>
    <row r="103" spans="1:13" ht="34.5" customHeight="1" x14ac:dyDescent="0.25">
      <c r="A103" s="26" t="s">
        <v>123</v>
      </c>
      <c r="B103" s="101" t="s">
        <v>818</v>
      </c>
      <c r="C103" s="27" t="s">
        <v>1376</v>
      </c>
      <c r="D103" s="28" t="s">
        <v>1009</v>
      </c>
      <c r="E103" s="36"/>
      <c r="F103" s="36" t="s">
        <v>819</v>
      </c>
      <c r="G103" s="30" t="s">
        <v>840</v>
      </c>
      <c r="H103" s="31"/>
      <c r="I103" s="32" t="s">
        <v>1102</v>
      </c>
      <c r="J103" s="32" t="b">
        <f t="shared" si="2"/>
        <v>0</v>
      </c>
      <c r="K103" s="31">
        <f t="shared" si="3"/>
        <v>0</v>
      </c>
      <c r="L103" s="33"/>
      <c r="M103" s="34"/>
    </row>
    <row r="104" spans="1:13" ht="34.5" customHeight="1" x14ac:dyDescent="0.25">
      <c r="A104" s="26" t="s">
        <v>124</v>
      </c>
      <c r="B104" s="101" t="s">
        <v>720</v>
      </c>
      <c r="C104" s="27" t="s">
        <v>820</v>
      </c>
      <c r="D104" s="28" t="s">
        <v>1357</v>
      </c>
      <c r="E104" s="36" t="s">
        <v>821</v>
      </c>
      <c r="F104" s="36" t="s">
        <v>688</v>
      </c>
      <c r="G104" s="30" t="s">
        <v>822</v>
      </c>
      <c r="H104" s="31"/>
      <c r="I104" s="32" t="s">
        <v>1102</v>
      </c>
      <c r="J104" s="32" t="b">
        <f t="shared" si="2"/>
        <v>0</v>
      </c>
      <c r="K104" s="31">
        <f t="shared" si="3"/>
        <v>0</v>
      </c>
      <c r="L104" s="33"/>
      <c r="M104" s="34"/>
    </row>
    <row r="105" spans="1:13" ht="34.5" customHeight="1" x14ac:dyDescent="0.25">
      <c r="A105" s="26" t="s">
        <v>125</v>
      </c>
      <c r="B105" s="101" t="s">
        <v>630</v>
      </c>
      <c r="C105" s="27" t="s">
        <v>906</v>
      </c>
      <c r="D105" s="28" t="s">
        <v>1327</v>
      </c>
      <c r="E105" s="36" t="s">
        <v>823</v>
      </c>
      <c r="F105" s="36" t="s">
        <v>688</v>
      </c>
      <c r="G105" s="30" t="s">
        <v>824</v>
      </c>
      <c r="H105" s="31">
        <v>1500</v>
      </c>
      <c r="I105" s="32" t="s">
        <v>1016</v>
      </c>
      <c r="J105" s="32" t="b">
        <f t="shared" si="2"/>
        <v>0</v>
      </c>
      <c r="K105" s="31">
        <f t="shared" si="3"/>
        <v>0</v>
      </c>
      <c r="L105" s="33"/>
      <c r="M105" s="34"/>
    </row>
    <row r="106" spans="1:13" ht="34.5" customHeight="1" x14ac:dyDescent="0.25">
      <c r="A106" s="26" t="s">
        <v>126</v>
      </c>
      <c r="B106" s="101" t="s">
        <v>630</v>
      </c>
      <c r="C106" s="27" t="s">
        <v>906</v>
      </c>
      <c r="D106" s="28" t="s">
        <v>1327</v>
      </c>
      <c r="E106" s="36" t="s">
        <v>823</v>
      </c>
      <c r="F106" s="36" t="s">
        <v>688</v>
      </c>
      <c r="G106" s="30" t="s">
        <v>825</v>
      </c>
      <c r="H106" s="31">
        <v>1500</v>
      </c>
      <c r="I106" s="32" t="s">
        <v>1016</v>
      </c>
      <c r="J106" s="32" t="b">
        <f t="shared" si="2"/>
        <v>0</v>
      </c>
      <c r="K106" s="31">
        <f t="shared" si="3"/>
        <v>0</v>
      </c>
      <c r="L106" s="33"/>
      <c r="M106" s="34"/>
    </row>
    <row r="107" spans="1:13" ht="34.5" customHeight="1" x14ac:dyDescent="0.25">
      <c r="A107" s="26" t="s">
        <v>128</v>
      </c>
      <c r="B107" s="101" t="s">
        <v>661</v>
      </c>
      <c r="C107" s="27" t="s">
        <v>820</v>
      </c>
      <c r="D107" s="28" t="s">
        <v>1357</v>
      </c>
      <c r="E107" s="36" t="s">
        <v>828</v>
      </c>
      <c r="F107" s="36" t="s">
        <v>662</v>
      </c>
      <c r="G107" s="41">
        <v>273950468679</v>
      </c>
      <c r="H107" s="31"/>
      <c r="I107" s="32" t="s">
        <v>1102</v>
      </c>
      <c r="J107" s="32" t="b">
        <f t="shared" si="2"/>
        <v>0</v>
      </c>
      <c r="K107" s="31">
        <f t="shared" si="3"/>
        <v>0</v>
      </c>
      <c r="L107" s="33"/>
      <c r="M107" s="34"/>
    </row>
    <row r="108" spans="1:13" ht="34.5" customHeight="1" x14ac:dyDescent="0.25">
      <c r="A108" s="26" t="s">
        <v>129</v>
      </c>
      <c r="B108" s="108" t="s">
        <v>829</v>
      </c>
      <c r="C108" s="27" t="s">
        <v>957</v>
      </c>
      <c r="D108" s="28" t="s">
        <v>1359</v>
      </c>
      <c r="E108" s="36" t="s">
        <v>831</v>
      </c>
      <c r="F108" s="36" t="s">
        <v>654</v>
      </c>
      <c r="G108" s="30" t="s">
        <v>832</v>
      </c>
      <c r="H108" s="31"/>
      <c r="I108" s="32" t="s">
        <v>1102</v>
      </c>
      <c r="J108" s="32" t="b">
        <f t="shared" si="2"/>
        <v>0</v>
      </c>
      <c r="K108" s="31">
        <f t="shared" si="3"/>
        <v>0</v>
      </c>
      <c r="L108" s="33"/>
      <c r="M108" s="34"/>
    </row>
    <row r="109" spans="1:13" ht="34.5" customHeight="1" x14ac:dyDescent="0.25">
      <c r="A109" s="26" t="s">
        <v>130</v>
      </c>
      <c r="B109" s="109" t="s">
        <v>829</v>
      </c>
      <c r="C109" s="27" t="s">
        <v>957</v>
      </c>
      <c r="D109" s="28" t="s">
        <v>980</v>
      </c>
      <c r="E109" s="36" t="s">
        <v>831</v>
      </c>
      <c r="F109" s="36" t="s">
        <v>654</v>
      </c>
      <c r="G109" s="30" t="s">
        <v>833</v>
      </c>
      <c r="H109" s="31"/>
      <c r="I109" s="32" t="s">
        <v>1102</v>
      </c>
      <c r="J109" s="32" t="b">
        <f t="shared" si="2"/>
        <v>0</v>
      </c>
      <c r="K109" s="31">
        <f t="shared" si="3"/>
        <v>0</v>
      </c>
      <c r="L109" s="33"/>
      <c r="M109" s="34"/>
    </row>
    <row r="110" spans="1:13" ht="34.5" customHeight="1" x14ac:dyDescent="0.25">
      <c r="A110" s="26" t="s">
        <v>131</v>
      </c>
      <c r="B110" s="108" t="s">
        <v>656</v>
      </c>
      <c r="C110" s="27" t="s">
        <v>978</v>
      </c>
      <c r="D110" s="28" t="s">
        <v>1327</v>
      </c>
      <c r="E110" s="36" t="s">
        <v>834</v>
      </c>
      <c r="F110" s="36"/>
      <c r="G110" s="30" t="s">
        <v>835</v>
      </c>
      <c r="H110" s="31"/>
      <c r="I110" s="32" t="s">
        <v>1016</v>
      </c>
      <c r="J110" s="32" t="b">
        <f t="shared" si="2"/>
        <v>0</v>
      </c>
      <c r="K110" s="31">
        <f t="shared" si="3"/>
        <v>0</v>
      </c>
      <c r="L110" s="33"/>
      <c r="M110" s="34"/>
    </row>
    <row r="111" spans="1:13" ht="34.5" customHeight="1" x14ac:dyDescent="0.25">
      <c r="A111" s="26" t="s">
        <v>132</v>
      </c>
      <c r="B111" s="109" t="s">
        <v>836</v>
      </c>
      <c r="C111" s="27" t="s">
        <v>830</v>
      </c>
      <c r="D111" s="28" t="s">
        <v>1327</v>
      </c>
      <c r="E111" s="36" t="s">
        <v>837</v>
      </c>
      <c r="F111" s="36" t="s">
        <v>662</v>
      </c>
      <c r="G111" s="30">
        <v>273950340260</v>
      </c>
      <c r="H111" s="31"/>
      <c r="I111" s="32" t="s">
        <v>1016</v>
      </c>
      <c r="J111" s="32" t="b">
        <f t="shared" si="2"/>
        <v>0</v>
      </c>
      <c r="K111" s="31">
        <f t="shared" si="3"/>
        <v>0</v>
      </c>
      <c r="L111" s="33"/>
      <c r="M111" s="34"/>
    </row>
    <row r="112" spans="1:13" ht="34.5" customHeight="1" x14ac:dyDescent="0.25">
      <c r="A112" s="26" t="s">
        <v>133</v>
      </c>
      <c r="B112" s="108" t="s">
        <v>838</v>
      </c>
      <c r="C112" s="27" t="s">
        <v>830</v>
      </c>
      <c r="D112" s="28" t="s">
        <v>1327</v>
      </c>
      <c r="E112" s="36" t="s">
        <v>839</v>
      </c>
      <c r="F112" s="36" t="s">
        <v>664</v>
      </c>
      <c r="G112" s="30" t="s">
        <v>840</v>
      </c>
      <c r="H112" s="31">
        <v>180</v>
      </c>
      <c r="I112" s="32" t="s">
        <v>1016</v>
      </c>
      <c r="J112" s="32" t="b">
        <f t="shared" si="2"/>
        <v>0</v>
      </c>
      <c r="K112" s="31">
        <f t="shared" si="3"/>
        <v>0</v>
      </c>
      <c r="L112" s="33"/>
      <c r="M112" s="34"/>
    </row>
    <row r="113" spans="1:13" ht="34.5" customHeight="1" x14ac:dyDescent="0.25">
      <c r="A113" s="26" t="s">
        <v>134</v>
      </c>
      <c r="B113" s="108" t="s">
        <v>841</v>
      </c>
      <c r="C113" s="27" t="s">
        <v>978</v>
      </c>
      <c r="D113" s="28" t="s">
        <v>1327</v>
      </c>
      <c r="E113" s="36" t="s">
        <v>842</v>
      </c>
      <c r="F113" s="36" t="s">
        <v>632</v>
      </c>
      <c r="G113" s="30" t="s">
        <v>843</v>
      </c>
      <c r="H113" s="31"/>
      <c r="I113" s="32" t="s">
        <v>1016</v>
      </c>
      <c r="J113" s="32" t="b">
        <f t="shared" si="2"/>
        <v>0</v>
      </c>
      <c r="K113" s="31">
        <f t="shared" si="3"/>
        <v>0</v>
      </c>
      <c r="L113" s="33"/>
      <c r="M113" s="34"/>
    </row>
    <row r="114" spans="1:13" ht="34.5" customHeight="1" x14ac:dyDescent="0.25">
      <c r="A114" s="26" t="s">
        <v>135</v>
      </c>
      <c r="B114" s="105" t="s">
        <v>665</v>
      </c>
      <c r="C114" s="27" t="s">
        <v>830</v>
      </c>
      <c r="D114" s="28" t="s">
        <v>980</v>
      </c>
      <c r="E114" s="36" t="s">
        <v>844</v>
      </c>
      <c r="F114" s="36"/>
      <c r="G114" s="30" t="s">
        <v>845</v>
      </c>
      <c r="H114" s="31"/>
      <c r="I114" s="32" t="s">
        <v>1102</v>
      </c>
      <c r="J114" s="32" t="b">
        <f t="shared" si="2"/>
        <v>0</v>
      </c>
      <c r="K114" s="31">
        <f t="shared" si="3"/>
        <v>0</v>
      </c>
      <c r="L114" s="33"/>
      <c r="M114" s="34"/>
    </row>
    <row r="115" spans="1:13" ht="34.5" customHeight="1" x14ac:dyDescent="0.25">
      <c r="A115" s="49" t="s">
        <v>136</v>
      </c>
      <c r="B115" s="101" t="s">
        <v>920</v>
      </c>
      <c r="C115" s="27" t="s">
        <v>906</v>
      </c>
      <c r="D115" s="28" t="s">
        <v>1327</v>
      </c>
      <c r="E115" s="36" t="s">
        <v>921</v>
      </c>
      <c r="F115" s="36"/>
      <c r="G115" s="28" t="s">
        <v>922</v>
      </c>
      <c r="H115" s="31"/>
      <c r="I115" s="32" t="s">
        <v>1016</v>
      </c>
      <c r="J115" s="32" t="b">
        <f t="shared" si="2"/>
        <v>0</v>
      </c>
      <c r="K115" s="47">
        <f t="shared" si="3"/>
        <v>0</v>
      </c>
      <c r="L115" s="48"/>
      <c r="M115" s="34"/>
    </row>
    <row r="116" spans="1:13" ht="34.5" customHeight="1" x14ac:dyDescent="0.25">
      <c r="A116" s="26" t="s">
        <v>137</v>
      </c>
      <c r="B116" s="101" t="s">
        <v>846</v>
      </c>
      <c r="C116" s="27" t="s">
        <v>830</v>
      </c>
      <c r="D116" s="28" t="s">
        <v>1327</v>
      </c>
      <c r="E116" s="36" t="s">
        <v>847</v>
      </c>
      <c r="F116" s="36" t="s">
        <v>688</v>
      </c>
      <c r="G116" s="30" t="s">
        <v>848</v>
      </c>
      <c r="H116" s="31"/>
      <c r="I116" s="32" t="s">
        <v>1016</v>
      </c>
      <c r="J116" s="32" t="b">
        <f t="shared" si="2"/>
        <v>0</v>
      </c>
      <c r="K116" s="31">
        <f t="shared" si="3"/>
        <v>0</v>
      </c>
      <c r="L116" s="33"/>
      <c r="M116" s="34"/>
    </row>
    <row r="117" spans="1:13" ht="34.5" customHeight="1" x14ac:dyDescent="0.25">
      <c r="A117" s="26" t="s">
        <v>138</v>
      </c>
      <c r="B117" s="101" t="s">
        <v>849</v>
      </c>
      <c r="C117" s="27" t="s">
        <v>830</v>
      </c>
      <c r="D117" s="28" t="s">
        <v>1327</v>
      </c>
      <c r="E117" s="36" t="s">
        <v>850</v>
      </c>
      <c r="F117" s="36"/>
      <c r="G117" s="30" t="s">
        <v>851</v>
      </c>
      <c r="H117" s="31"/>
      <c r="I117" s="32" t="s">
        <v>1016</v>
      </c>
      <c r="J117" s="32" t="b">
        <f t="shared" si="2"/>
        <v>0</v>
      </c>
      <c r="K117" s="31">
        <f t="shared" si="3"/>
        <v>0</v>
      </c>
      <c r="L117" s="33"/>
      <c r="M117" s="34"/>
    </row>
    <row r="118" spans="1:13" ht="34.5" customHeight="1" x14ac:dyDescent="0.25">
      <c r="A118" s="49" t="s">
        <v>139</v>
      </c>
      <c r="B118" s="101" t="s">
        <v>919</v>
      </c>
      <c r="C118" s="27" t="s">
        <v>906</v>
      </c>
      <c r="D118" s="28" t="s">
        <v>909</v>
      </c>
      <c r="E118" s="36" t="s">
        <v>840</v>
      </c>
      <c r="F118" s="36" t="s">
        <v>688</v>
      </c>
      <c r="G118" s="28" t="s">
        <v>840</v>
      </c>
      <c r="H118" s="31"/>
      <c r="I118" s="32" t="s">
        <v>1102</v>
      </c>
      <c r="J118" s="32" t="b">
        <f t="shared" si="2"/>
        <v>0</v>
      </c>
      <c r="K118" s="31">
        <f t="shared" si="3"/>
        <v>0</v>
      </c>
      <c r="L118" s="33"/>
      <c r="M118" s="34"/>
    </row>
    <row r="119" spans="1:13" ht="34.5" customHeight="1" x14ac:dyDescent="0.25">
      <c r="A119" s="51" t="s">
        <v>140</v>
      </c>
      <c r="B119" s="97" t="s">
        <v>720</v>
      </c>
      <c r="C119" s="27" t="s">
        <v>957</v>
      </c>
      <c r="D119" s="28" t="s">
        <v>1009</v>
      </c>
      <c r="E119" s="53" t="s">
        <v>904</v>
      </c>
      <c r="F119" s="53" t="s">
        <v>688</v>
      </c>
      <c r="G119" s="46" t="s">
        <v>905</v>
      </c>
      <c r="H119" s="31"/>
      <c r="I119" s="32" t="s">
        <v>1016</v>
      </c>
      <c r="J119" s="32" t="b">
        <f t="shared" si="2"/>
        <v>0</v>
      </c>
      <c r="K119" s="31">
        <f t="shared" si="3"/>
        <v>0</v>
      </c>
      <c r="L119" s="33"/>
      <c r="M119" s="34"/>
    </row>
    <row r="120" spans="1:13" ht="34.5" customHeight="1" x14ac:dyDescent="0.25">
      <c r="A120" s="26" t="s">
        <v>141</v>
      </c>
      <c r="B120" s="97" t="s">
        <v>720</v>
      </c>
      <c r="C120" s="27" t="s">
        <v>1380</v>
      </c>
      <c r="D120" s="46" t="s">
        <v>668</v>
      </c>
      <c r="E120" s="53" t="s">
        <v>852</v>
      </c>
      <c r="F120" s="53" t="s">
        <v>642</v>
      </c>
      <c r="G120" s="43" t="s">
        <v>854</v>
      </c>
      <c r="H120" s="31"/>
      <c r="I120" s="32" t="s">
        <v>1393</v>
      </c>
      <c r="J120" s="32" t="b">
        <f t="shared" si="2"/>
        <v>0</v>
      </c>
      <c r="K120" s="31">
        <f t="shared" si="3"/>
        <v>0</v>
      </c>
      <c r="L120" s="33"/>
      <c r="M120" s="34"/>
    </row>
    <row r="121" spans="1:13" ht="34.5" customHeight="1" x14ac:dyDescent="0.25">
      <c r="A121" s="49" t="s">
        <v>142</v>
      </c>
      <c r="B121" s="97" t="s">
        <v>665</v>
      </c>
      <c r="C121" s="27" t="s">
        <v>1122</v>
      </c>
      <c r="D121" s="75" t="s">
        <v>1299</v>
      </c>
      <c r="E121" s="36" t="s">
        <v>853</v>
      </c>
      <c r="F121" s="36" t="s">
        <v>903</v>
      </c>
      <c r="G121" s="28">
        <v>7111800330</v>
      </c>
      <c r="H121" s="31"/>
      <c r="I121" s="32" t="s">
        <v>1016</v>
      </c>
      <c r="J121" s="32" t="b">
        <f t="shared" si="2"/>
        <v>0</v>
      </c>
      <c r="K121" s="31">
        <f t="shared" si="3"/>
        <v>0</v>
      </c>
      <c r="L121" s="33"/>
      <c r="M121" s="34"/>
    </row>
    <row r="122" spans="1:13" ht="34.5" customHeight="1" x14ac:dyDescent="0.25">
      <c r="A122" s="26" t="s">
        <v>143</v>
      </c>
      <c r="B122" s="101" t="s">
        <v>720</v>
      </c>
      <c r="C122" s="27" t="s">
        <v>957</v>
      </c>
      <c r="D122" s="75" t="s">
        <v>1359</v>
      </c>
      <c r="E122" s="36" t="s">
        <v>857</v>
      </c>
      <c r="F122" s="36" t="s">
        <v>856</v>
      </c>
      <c r="G122" s="28" t="s">
        <v>858</v>
      </c>
      <c r="H122" s="31"/>
      <c r="I122" s="32" t="s">
        <v>1393</v>
      </c>
      <c r="J122" s="32" t="b">
        <f t="shared" si="2"/>
        <v>0</v>
      </c>
      <c r="K122" s="31">
        <f t="shared" si="3"/>
        <v>0</v>
      </c>
      <c r="L122" s="33"/>
      <c r="M122" s="34"/>
    </row>
    <row r="123" spans="1:13" ht="34.5" customHeight="1" x14ac:dyDescent="0.25">
      <c r="A123" s="26" t="s">
        <v>145</v>
      </c>
      <c r="B123" s="101" t="s">
        <v>860</v>
      </c>
      <c r="C123" s="27" t="s">
        <v>1376</v>
      </c>
      <c r="D123" s="28" t="s">
        <v>1359</v>
      </c>
      <c r="E123" s="36" t="s">
        <v>861</v>
      </c>
      <c r="F123" s="36" t="s">
        <v>862</v>
      </c>
      <c r="G123" s="30" t="s">
        <v>863</v>
      </c>
      <c r="H123" s="31"/>
      <c r="I123" s="32" t="s">
        <v>1102</v>
      </c>
      <c r="J123" s="32" t="b">
        <f t="shared" si="2"/>
        <v>0</v>
      </c>
      <c r="K123" s="31">
        <f t="shared" si="3"/>
        <v>0</v>
      </c>
      <c r="L123" s="33"/>
      <c r="M123" s="34"/>
    </row>
    <row r="124" spans="1:13" ht="34.5" customHeight="1" x14ac:dyDescent="0.25">
      <c r="A124" s="26" t="s">
        <v>146</v>
      </c>
      <c r="B124" s="101" t="s">
        <v>864</v>
      </c>
      <c r="C124" s="27" t="s">
        <v>1376</v>
      </c>
      <c r="D124" s="28" t="s">
        <v>1009</v>
      </c>
      <c r="E124" s="36" t="s">
        <v>810</v>
      </c>
      <c r="F124" s="36" t="s">
        <v>810</v>
      </c>
      <c r="G124" s="30" t="s">
        <v>840</v>
      </c>
      <c r="H124" s="31"/>
      <c r="I124" s="32" t="s">
        <v>1102</v>
      </c>
      <c r="J124" s="32" t="b">
        <f t="shared" si="2"/>
        <v>0</v>
      </c>
      <c r="K124" s="31">
        <f t="shared" si="3"/>
        <v>0</v>
      </c>
      <c r="L124" s="33"/>
      <c r="M124" s="34"/>
    </row>
    <row r="125" spans="1:13" ht="34.5" customHeight="1" x14ac:dyDescent="0.25">
      <c r="A125" s="26" t="s">
        <v>147</v>
      </c>
      <c r="B125" s="97" t="s">
        <v>865</v>
      </c>
      <c r="C125" s="27" t="s">
        <v>1380</v>
      </c>
      <c r="D125" s="28" t="s">
        <v>1377</v>
      </c>
      <c r="E125" s="53" t="s">
        <v>796</v>
      </c>
      <c r="F125" s="53" t="s">
        <v>866</v>
      </c>
      <c r="G125" s="30">
        <v>2067070025</v>
      </c>
      <c r="H125" s="31">
        <v>1500</v>
      </c>
      <c r="I125" s="32" t="s">
        <v>1102</v>
      </c>
      <c r="J125" s="32" t="b">
        <f t="shared" si="2"/>
        <v>0</v>
      </c>
      <c r="K125" s="31">
        <f t="shared" si="3"/>
        <v>0</v>
      </c>
      <c r="L125" s="33"/>
      <c r="M125" s="34"/>
    </row>
    <row r="126" spans="1:13" ht="34.5" customHeight="1" x14ac:dyDescent="0.25">
      <c r="A126" s="102" t="s">
        <v>149</v>
      </c>
      <c r="B126" s="97" t="s">
        <v>870</v>
      </c>
      <c r="C126" s="27" t="s">
        <v>1380</v>
      </c>
      <c r="D126" s="28" t="s">
        <v>981</v>
      </c>
      <c r="E126" s="53" t="s">
        <v>871</v>
      </c>
      <c r="F126" s="53" t="s">
        <v>872</v>
      </c>
      <c r="G126" s="30" t="s">
        <v>873</v>
      </c>
      <c r="H126" s="31"/>
      <c r="I126" s="32" t="s">
        <v>1102</v>
      </c>
      <c r="J126" s="32" t="b">
        <f t="shared" ref="J126:J180" si="4">IF(I126="b","0,6",IF(I126="r","0,2",IF(I126="o",0.8)))</f>
        <v>0</v>
      </c>
      <c r="K126" s="31">
        <f t="shared" ref="K126:K180" si="5">J126*H126</f>
        <v>0</v>
      </c>
      <c r="L126" s="33"/>
      <c r="M126" s="34"/>
    </row>
    <row r="127" spans="1:13" ht="34.5" customHeight="1" x14ac:dyDescent="0.25">
      <c r="A127" s="26" t="s">
        <v>150</v>
      </c>
      <c r="B127" s="97" t="s">
        <v>874</v>
      </c>
      <c r="C127" s="27" t="s">
        <v>1410</v>
      </c>
      <c r="D127" s="28" t="s">
        <v>981</v>
      </c>
      <c r="E127" s="53" t="s">
        <v>875</v>
      </c>
      <c r="F127" s="53" t="s">
        <v>876</v>
      </c>
      <c r="G127" s="30" t="s">
        <v>877</v>
      </c>
      <c r="H127" s="32">
        <v>9000</v>
      </c>
      <c r="I127" s="32" t="s">
        <v>1016</v>
      </c>
      <c r="J127" s="32" t="b">
        <f t="shared" si="4"/>
        <v>0</v>
      </c>
      <c r="K127" s="31">
        <f t="shared" si="5"/>
        <v>0</v>
      </c>
      <c r="L127" s="33"/>
      <c r="M127" s="34"/>
    </row>
    <row r="128" spans="1:13" ht="34.5" customHeight="1" x14ac:dyDescent="0.25">
      <c r="A128" s="26" t="s">
        <v>151</v>
      </c>
      <c r="B128" s="101" t="s">
        <v>665</v>
      </c>
      <c r="C128" s="27" t="s">
        <v>653</v>
      </c>
      <c r="D128" s="75" t="s">
        <v>1299</v>
      </c>
      <c r="E128" s="36" t="s">
        <v>878</v>
      </c>
      <c r="F128" s="36" t="s">
        <v>879</v>
      </c>
      <c r="G128" s="30">
        <v>86529059867765</v>
      </c>
      <c r="H128" s="31"/>
      <c r="I128" s="32" t="s">
        <v>1102</v>
      </c>
      <c r="J128" s="32" t="b">
        <f t="shared" si="4"/>
        <v>0</v>
      </c>
      <c r="K128" s="31">
        <f t="shared" si="5"/>
        <v>0</v>
      </c>
      <c r="L128" s="33"/>
      <c r="M128" s="34"/>
    </row>
    <row r="129" spans="1:13" ht="34.5" customHeight="1" x14ac:dyDescent="0.25">
      <c r="A129" s="26" t="s">
        <v>153</v>
      </c>
      <c r="B129" s="101" t="s">
        <v>880</v>
      </c>
      <c r="C129" s="27" t="s">
        <v>1380</v>
      </c>
      <c r="D129" s="75" t="s">
        <v>668</v>
      </c>
      <c r="E129" s="36" t="s">
        <v>883</v>
      </c>
      <c r="F129" s="36" t="s">
        <v>642</v>
      </c>
      <c r="G129" s="30" t="s">
        <v>884</v>
      </c>
      <c r="H129" s="31"/>
      <c r="I129" s="32" t="s">
        <v>1016</v>
      </c>
      <c r="J129" s="32" t="b">
        <f t="shared" si="4"/>
        <v>0</v>
      </c>
      <c r="K129" s="31">
        <f t="shared" si="5"/>
        <v>0</v>
      </c>
      <c r="L129" s="33"/>
      <c r="M129" s="34"/>
    </row>
    <row r="130" spans="1:13" ht="34.5" customHeight="1" x14ac:dyDescent="0.25">
      <c r="A130" s="26" t="s">
        <v>154</v>
      </c>
      <c r="B130" s="101" t="s">
        <v>885</v>
      </c>
      <c r="C130" s="27" t="s">
        <v>1376</v>
      </c>
      <c r="D130" s="28" t="s">
        <v>1359</v>
      </c>
      <c r="E130" s="36" t="s">
        <v>853</v>
      </c>
      <c r="F130" s="36" t="s">
        <v>886</v>
      </c>
      <c r="G130" s="30" t="s">
        <v>887</v>
      </c>
      <c r="H130" s="31">
        <v>2200</v>
      </c>
      <c r="I130" s="32" t="s">
        <v>1102</v>
      </c>
      <c r="J130" s="32" t="b">
        <f t="shared" si="4"/>
        <v>0</v>
      </c>
      <c r="K130" s="31">
        <f t="shared" si="5"/>
        <v>0</v>
      </c>
      <c r="L130" s="33"/>
      <c r="M130" s="34"/>
    </row>
    <row r="131" spans="1:13" ht="34.5" customHeight="1" x14ac:dyDescent="0.25">
      <c r="A131" s="26" t="s">
        <v>155</v>
      </c>
      <c r="B131" s="101" t="s">
        <v>885</v>
      </c>
      <c r="C131" s="27" t="s">
        <v>1376</v>
      </c>
      <c r="D131" s="28" t="s">
        <v>1359</v>
      </c>
      <c r="E131" s="36" t="s">
        <v>853</v>
      </c>
      <c r="F131" s="36" t="s">
        <v>886</v>
      </c>
      <c r="G131" s="30" t="s">
        <v>888</v>
      </c>
      <c r="H131" s="31">
        <v>2200</v>
      </c>
      <c r="I131" s="32" t="s">
        <v>1102</v>
      </c>
      <c r="J131" s="32" t="b">
        <f t="shared" si="4"/>
        <v>0</v>
      </c>
      <c r="K131" s="31">
        <f t="shared" si="5"/>
        <v>0</v>
      </c>
      <c r="L131" s="33"/>
      <c r="M131" s="34"/>
    </row>
    <row r="132" spans="1:13" ht="34.5" customHeight="1" x14ac:dyDescent="0.25">
      <c r="A132" s="26" t="s">
        <v>156</v>
      </c>
      <c r="B132" s="101" t="s">
        <v>885</v>
      </c>
      <c r="C132" s="27" t="s">
        <v>1376</v>
      </c>
      <c r="D132" s="28" t="s">
        <v>1359</v>
      </c>
      <c r="E132" s="36" t="s">
        <v>853</v>
      </c>
      <c r="F132" s="36" t="s">
        <v>886</v>
      </c>
      <c r="G132" s="30" t="s">
        <v>889</v>
      </c>
      <c r="H132" s="31">
        <v>2200</v>
      </c>
      <c r="I132" s="32" t="s">
        <v>1102</v>
      </c>
      <c r="J132" s="32" t="b">
        <f t="shared" si="4"/>
        <v>0</v>
      </c>
      <c r="K132" s="31">
        <f t="shared" si="5"/>
        <v>0</v>
      </c>
      <c r="L132" s="33"/>
      <c r="M132" s="34"/>
    </row>
    <row r="133" spans="1:13" ht="34.5" customHeight="1" x14ac:dyDescent="0.25">
      <c r="A133" s="26" t="s">
        <v>157</v>
      </c>
      <c r="B133" s="101" t="s">
        <v>885</v>
      </c>
      <c r="C133" s="27" t="s">
        <v>1376</v>
      </c>
      <c r="D133" s="28" t="s">
        <v>1359</v>
      </c>
      <c r="E133" s="36" t="s">
        <v>853</v>
      </c>
      <c r="F133" s="36" t="s">
        <v>886</v>
      </c>
      <c r="G133" s="30" t="s">
        <v>840</v>
      </c>
      <c r="H133" s="31">
        <v>2200</v>
      </c>
      <c r="I133" s="32" t="s">
        <v>1102</v>
      </c>
      <c r="J133" s="32" t="b">
        <f t="shared" si="4"/>
        <v>0</v>
      </c>
      <c r="K133" s="31">
        <f t="shared" si="5"/>
        <v>0</v>
      </c>
      <c r="L133" s="33"/>
      <c r="M133" s="34"/>
    </row>
    <row r="134" spans="1:13" ht="34.5" customHeight="1" x14ac:dyDescent="0.25">
      <c r="A134" s="26" t="s">
        <v>158</v>
      </c>
      <c r="B134" s="103" t="s">
        <v>890</v>
      </c>
      <c r="C134" s="27" t="s">
        <v>1376</v>
      </c>
      <c r="D134" s="28" t="s">
        <v>774</v>
      </c>
      <c r="E134" s="53" t="s">
        <v>891</v>
      </c>
      <c r="F134" s="53" t="s">
        <v>892</v>
      </c>
      <c r="G134" s="30" t="s">
        <v>840</v>
      </c>
      <c r="H134" s="31">
        <v>1580</v>
      </c>
      <c r="I134" s="32" t="s">
        <v>1102</v>
      </c>
      <c r="J134" s="32" t="b">
        <f t="shared" si="4"/>
        <v>0</v>
      </c>
      <c r="K134" s="31">
        <f t="shared" si="5"/>
        <v>0</v>
      </c>
      <c r="L134" s="33"/>
      <c r="M134" s="34"/>
    </row>
    <row r="135" spans="1:13" ht="34.5" customHeight="1" x14ac:dyDescent="0.25">
      <c r="A135" s="26" t="s">
        <v>159</v>
      </c>
      <c r="B135" s="97" t="s">
        <v>890</v>
      </c>
      <c r="C135" s="27" t="s">
        <v>1376</v>
      </c>
      <c r="D135" s="28" t="s">
        <v>1009</v>
      </c>
      <c r="E135" s="53" t="s">
        <v>891</v>
      </c>
      <c r="F135" s="53" t="s">
        <v>892</v>
      </c>
      <c r="G135" s="30" t="s">
        <v>840</v>
      </c>
      <c r="H135" s="31">
        <v>1580</v>
      </c>
      <c r="I135" s="32" t="s">
        <v>1102</v>
      </c>
      <c r="J135" s="32" t="b">
        <f t="shared" si="4"/>
        <v>0</v>
      </c>
      <c r="K135" s="31">
        <f t="shared" si="5"/>
        <v>0</v>
      </c>
      <c r="L135" s="33"/>
      <c r="M135" s="34"/>
    </row>
    <row r="136" spans="1:13" ht="34.5" customHeight="1" x14ac:dyDescent="0.25">
      <c r="A136" s="26" t="s">
        <v>160</v>
      </c>
      <c r="B136" s="101" t="s">
        <v>893</v>
      </c>
      <c r="C136" s="27" t="s">
        <v>1380</v>
      </c>
      <c r="D136" s="28" t="s">
        <v>1344</v>
      </c>
      <c r="E136" s="36" t="s">
        <v>894</v>
      </c>
      <c r="F136" s="36" t="s">
        <v>896</v>
      </c>
      <c r="G136" s="30" t="s">
        <v>895</v>
      </c>
      <c r="H136" s="31"/>
      <c r="I136" s="32" t="s">
        <v>1102</v>
      </c>
      <c r="J136" s="32" t="b">
        <f t="shared" si="4"/>
        <v>0</v>
      </c>
      <c r="K136" s="31">
        <f t="shared" si="5"/>
        <v>0</v>
      </c>
      <c r="L136" s="33"/>
      <c r="M136" s="34"/>
    </row>
    <row r="137" spans="1:13" ht="34.5" customHeight="1" x14ac:dyDescent="0.25">
      <c r="A137" s="26" t="s">
        <v>161</v>
      </c>
      <c r="B137" s="101" t="s">
        <v>897</v>
      </c>
      <c r="C137" s="27" t="s">
        <v>1380</v>
      </c>
      <c r="D137" s="28" t="s">
        <v>1344</v>
      </c>
      <c r="E137" s="36" t="s">
        <v>898</v>
      </c>
      <c r="F137" s="36" t="s">
        <v>790</v>
      </c>
      <c r="G137" s="30">
        <v>25117730</v>
      </c>
      <c r="H137" s="31"/>
      <c r="I137" s="32" t="s">
        <v>1102</v>
      </c>
      <c r="J137" s="32" t="b">
        <f t="shared" si="4"/>
        <v>0</v>
      </c>
      <c r="K137" s="31">
        <f t="shared" si="5"/>
        <v>0</v>
      </c>
      <c r="L137" s="33"/>
      <c r="M137" s="34"/>
    </row>
    <row r="138" spans="1:13" ht="34.5" customHeight="1" x14ac:dyDescent="0.25">
      <c r="A138" s="26" t="s">
        <v>162</v>
      </c>
      <c r="B138" s="101" t="s">
        <v>899</v>
      </c>
      <c r="C138" s="27" t="s">
        <v>1380</v>
      </c>
      <c r="D138" s="28" t="s">
        <v>1344</v>
      </c>
      <c r="E138" s="36" t="s">
        <v>900</v>
      </c>
      <c r="F138" s="36" t="s">
        <v>901</v>
      </c>
      <c r="G138" s="30" t="s">
        <v>840</v>
      </c>
      <c r="H138" s="31">
        <v>2000</v>
      </c>
      <c r="I138" s="32" t="s">
        <v>1102</v>
      </c>
      <c r="J138" s="32" t="b">
        <f t="shared" si="4"/>
        <v>0</v>
      </c>
      <c r="K138" s="31">
        <f t="shared" si="5"/>
        <v>0</v>
      </c>
      <c r="L138" s="33"/>
      <c r="M138" s="34"/>
    </row>
    <row r="139" spans="1:13" ht="34.5" customHeight="1" x14ac:dyDescent="0.25">
      <c r="A139" s="26" t="s">
        <v>164</v>
      </c>
      <c r="B139" s="101" t="s">
        <v>720</v>
      </c>
      <c r="C139" s="27" t="s">
        <v>721</v>
      </c>
      <c r="D139" s="28" t="s">
        <v>1327</v>
      </c>
      <c r="E139" s="36" t="s">
        <v>907</v>
      </c>
      <c r="F139" s="36" t="s">
        <v>688</v>
      </c>
      <c r="G139" s="30" t="s">
        <v>908</v>
      </c>
      <c r="H139" s="31"/>
      <c r="I139" s="32" t="s">
        <v>1016</v>
      </c>
      <c r="J139" s="32" t="b">
        <f t="shared" si="4"/>
        <v>0</v>
      </c>
      <c r="K139" s="31">
        <f t="shared" si="5"/>
        <v>0</v>
      </c>
      <c r="L139" s="33"/>
      <c r="M139" s="34"/>
    </row>
    <row r="140" spans="1:13" ht="34.5" customHeight="1" x14ac:dyDescent="0.25">
      <c r="A140" s="26" t="s">
        <v>165</v>
      </c>
      <c r="B140" s="101" t="s">
        <v>730</v>
      </c>
      <c r="C140" s="27" t="s">
        <v>906</v>
      </c>
      <c r="D140" s="28" t="s">
        <v>909</v>
      </c>
      <c r="E140" s="36" t="s">
        <v>910</v>
      </c>
      <c r="F140" s="36" t="s">
        <v>688</v>
      </c>
      <c r="G140" s="30" t="s">
        <v>911</v>
      </c>
      <c r="H140" s="31">
        <v>1200</v>
      </c>
      <c r="I140" s="32" t="s">
        <v>1102</v>
      </c>
      <c r="J140" s="32" t="b">
        <f t="shared" si="4"/>
        <v>0</v>
      </c>
      <c r="K140" s="31">
        <f t="shared" si="5"/>
        <v>0</v>
      </c>
      <c r="L140" s="33"/>
      <c r="M140" s="34"/>
    </row>
    <row r="141" spans="1:13" ht="34.5" customHeight="1" x14ac:dyDescent="0.25">
      <c r="A141" s="26" t="s">
        <v>166</v>
      </c>
      <c r="B141" s="101" t="s">
        <v>846</v>
      </c>
      <c r="C141" s="27" t="s">
        <v>906</v>
      </c>
      <c r="D141" s="28" t="s">
        <v>909</v>
      </c>
      <c r="E141" s="36" t="s">
        <v>912</v>
      </c>
      <c r="F141" s="36" t="s">
        <v>688</v>
      </c>
      <c r="G141" s="30" t="s">
        <v>913</v>
      </c>
      <c r="H141" s="31"/>
      <c r="I141" s="32" t="s">
        <v>1102</v>
      </c>
      <c r="J141" s="32" t="b">
        <f t="shared" si="4"/>
        <v>0</v>
      </c>
      <c r="K141" s="31">
        <f t="shared" si="5"/>
        <v>0</v>
      </c>
      <c r="L141" s="33"/>
      <c r="M141" s="34"/>
    </row>
    <row r="142" spans="1:13" ht="34.5" customHeight="1" x14ac:dyDescent="0.25">
      <c r="A142" s="26" t="s">
        <v>168</v>
      </c>
      <c r="B142" s="101" t="s">
        <v>916</v>
      </c>
      <c r="C142" s="27" t="s">
        <v>906</v>
      </c>
      <c r="D142" s="28" t="s">
        <v>909</v>
      </c>
      <c r="E142" s="36" t="s">
        <v>917</v>
      </c>
      <c r="F142" s="36"/>
      <c r="G142" s="30" t="s">
        <v>918</v>
      </c>
      <c r="H142" s="31"/>
      <c r="I142" s="32" t="s">
        <v>1102</v>
      </c>
      <c r="J142" s="32" t="b">
        <f t="shared" si="4"/>
        <v>0</v>
      </c>
      <c r="K142" s="31">
        <f t="shared" si="5"/>
        <v>0</v>
      </c>
      <c r="L142" s="33"/>
      <c r="M142" s="34"/>
    </row>
    <row r="143" spans="1:13" ht="34.5" customHeight="1" x14ac:dyDescent="0.25">
      <c r="A143" s="26" t="s">
        <v>171</v>
      </c>
      <c r="B143" s="101" t="s">
        <v>933</v>
      </c>
      <c r="C143" s="27" t="s">
        <v>1376</v>
      </c>
      <c r="D143" s="28" t="s">
        <v>1359</v>
      </c>
      <c r="E143" s="36">
        <v>325</v>
      </c>
      <c r="F143" s="36" t="s">
        <v>862</v>
      </c>
      <c r="G143" s="30" t="s">
        <v>930</v>
      </c>
      <c r="H143" s="31">
        <v>1200</v>
      </c>
      <c r="I143" s="32" t="s">
        <v>1102</v>
      </c>
      <c r="J143" s="32" t="b">
        <f t="shared" si="4"/>
        <v>0</v>
      </c>
      <c r="K143" s="31">
        <f t="shared" si="5"/>
        <v>0</v>
      </c>
      <c r="L143" s="33"/>
      <c r="M143" s="34"/>
    </row>
    <row r="144" spans="1:13" ht="34.5" customHeight="1" x14ac:dyDescent="0.25">
      <c r="A144" s="26" t="s">
        <v>172</v>
      </c>
      <c r="B144" s="101" t="s">
        <v>934</v>
      </c>
      <c r="C144" s="27" t="s">
        <v>1376</v>
      </c>
      <c r="D144" s="28" t="s">
        <v>1359</v>
      </c>
      <c r="E144" s="36" t="s">
        <v>923</v>
      </c>
      <c r="F144" s="36" t="s">
        <v>928</v>
      </c>
      <c r="G144" s="30" t="s">
        <v>840</v>
      </c>
      <c r="H144" s="31"/>
      <c r="I144" s="32" t="s">
        <v>1102</v>
      </c>
      <c r="J144" s="32" t="b">
        <f t="shared" si="4"/>
        <v>0</v>
      </c>
      <c r="K144" s="31">
        <f t="shared" si="5"/>
        <v>0</v>
      </c>
      <c r="L144" s="33"/>
      <c r="M144" s="34"/>
    </row>
    <row r="145" spans="1:13" ht="34.5" customHeight="1" x14ac:dyDescent="0.25">
      <c r="A145" s="26" t="s">
        <v>173</v>
      </c>
      <c r="B145" s="101" t="s">
        <v>935</v>
      </c>
      <c r="C145" s="27" t="s">
        <v>1376</v>
      </c>
      <c r="D145" s="28" t="s">
        <v>1359</v>
      </c>
      <c r="E145" s="36" t="s">
        <v>924</v>
      </c>
      <c r="F145" s="36" t="s">
        <v>929</v>
      </c>
      <c r="G145" s="30" t="s">
        <v>931</v>
      </c>
      <c r="H145" s="31"/>
      <c r="I145" s="32" t="s">
        <v>1102</v>
      </c>
      <c r="J145" s="32" t="b">
        <f t="shared" si="4"/>
        <v>0</v>
      </c>
      <c r="K145" s="31">
        <f t="shared" si="5"/>
        <v>0</v>
      </c>
      <c r="L145" s="33"/>
      <c r="M145" s="34"/>
    </row>
    <row r="146" spans="1:13" ht="34.5" customHeight="1" x14ac:dyDescent="0.25">
      <c r="A146" s="26" t="s">
        <v>174</v>
      </c>
      <c r="B146" s="101" t="s">
        <v>936</v>
      </c>
      <c r="C146" s="27" t="s">
        <v>1376</v>
      </c>
      <c r="D146" s="28" t="s">
        <v>1359</v>
      </c>
      <c r="E146" s="36" t="s">
        <v>925</v>
      </c>
      <c r="F146" s="36" t="s">
        <v>928</v>
      </c>
      <c r="G146" s="30" t="s">
        <v>840</v>
      </c>
      <c r="H146" s="31">
        <v>1100</v>
      </c>
      <c r="I146" s="32" t="s">
        <v>1102</v>
      </c>
      <c r="J146" s="32" t="b">
        <f t="shared" si="4"/>
        <v>0</v>
      </c>
      <c r="K146" s="31">
        <f t="shared" si="5"/>
        <v>0</v>
      </c>
      <c r="L146" s="33"/>
      <c r="M146" s="34"/>
    </row>
    <row r="147" spans="1:13" ht="34.5" customHeight="1" x14ac:dyDescent="0.25">
      <c r="A147" s="26" t="s">
        <v>175</v>
      </c>
      <c r="B147" s="101" t="s">
        <v>937</v>
      </c>
      <c r="C147" s="27" t="s">
        <v>1376</v>
      </c>
      <c r="D147" s="28" t="s">
        <v>1359</v>
      </c>
      <c r="E147" s="36" t="s">
        <v>926</v>
      </c>
      <c r="F147" s="36" t="s">
        <v>929</v>
      </c>
      <c r="G147" s="30" t="s">
        <v>932</v>
      </c>
      <c r="H147" s="31">
        <v>14000</v>
      </c>
      <c r="I147" s="32" t="s">
        <v>1102</v>
      </c>
      <c r="J147" s="32" t="b">
        <f t="shared" si="4"/>
        <v>0</v>
      </c>
      <c r="K147" s="31">
        <f t="shared" si="5"/>
        <v>0</v>
      </c>
      <c r="L147" s="33"/>
      <c r="M147" s="34"/>
    </row>
    <row r="148" spans="1:13" ht="34.5" customHeight="1" x14ac:dyDescent="0.25">
      <c r="A148" s="26" t="s">
        <v>176</v>
      </c>
      <c r="B148" s="100" t="s">
        <v>939</v>
      </c>
      <c r="C148" s="27" t="s">
        <v>1376</v>
      </c>
      <c r="D148" s="28" t="s">
        <v>1359</v>
      </c>
      <c r="E148" s="36" t="s">
        <v>940</v>
      </c>
      <c r="F148" s="36" t="s">
        <v>928</v>
      </c>
      <c r="G148" s="30">
        <v>3413513</v>
      </c>
      <c r="H148" s="31"/>
      <c r="I148" s="32" t="s">
        <v>1102</v>
      </c>
      <c r="J148" s="32" t="b">
        <f t="shared" si="4"/>
        <v>0</v>
      </c>
      <c r="K148" s="31">
        <f t="shared" si="5"/>
        <v>0</v>
      </c>
      <c r="L148" s="33"/>
      <c r="M148" s="34"/>
    </row>
    <row r="149" spans="1:13" ht="34.5" customHeight="1" x14ac:dyDescent="0.25">
      <c r="A149" s="26" t="s">
        <v>177</v>
      </c>
      <c r="B149" s="101" t="s">
        <v>941</v>
      </c>
      <c r="C149" s="27" t="s">
        <v>773</v>
      </c>
      <c r="D149" s="75" t="s">
        <v>1359</v>
      </c>
      <c r="E149" s="36" t="s">
        <v>943</v>
      </c>
      <c r="F149" s="36" t="s">
        <v>942</v>
      </c>
      <c r="G149" s="30" t="s">
        <v>944</v>
      </c>
      <c r="H149" s="31"/>
      <c r="I149" s="32" t="s">
        <v>1102</v>
      </c>
      <c r="J149" s="32" t="b">
        <f t="shared" si="4"/>
        <v>0</v>
      </c>
      <c r="K149" s="31">
        <f t="shared" si="5"/>
        <v>0</v>
      </c>
      <c r="L149" s="33"/>
      <c r="M149" s="34"/>
    </row>
    <row r="150" spans="1:13" ht="34.5" customHeight="1" x14ac:dyDescent="0.25">
      <c r="A150" s="26" t="s">
        <v>178</v>
      </c>
      <c r="B150" s="101" t="s">
        <v>941</v>
      </c>
      <c r="C150" s="27" t="s">
        <v>773</v>
      </c>
      <c r="D150" s="75" t="s">
        <v>1359</v>
      </c>
      <c r="E150" s="36" t="s">
        <v>943</v>
      </c>
      <c r="F150" s="36" t="s">
        <v>942</v>
      </c>
      <c r="G150" s="30" t="s">
        <v>945</v>
      </c>
      <c r="H150" s="31"/>
      <c r="I150" s="32" t="s">
        <v>1102</v>
      </c>
      <c r="J150" s="32" t="b">
        <f t="shared" si="4"/>
        <v>0</v>
      </c>
      <c r="K150" s="31">
        <f t="shared" si="5"/>
        <v>0</v>
      </c>
      <c r="L150" s="33"/>
      <c r="M150" s="34"/>
    </row>
    <row r="151" spans="1:13" ht="34.5" customHeight="1" x14ac:dyDescent="0.25">
      <c r="A151" s="26" t="s">
        <v>180</v>
      </c>
      <c r="B151" s="101" t="s">
        <v>985</v>
      </c>
      <c r="C151" s="27" t="s">
        <v>1380</v>
      </c>
      <c r="D151" s="28" t="s">
        <v>948</v>
      </c>
      <c r="E151" s="36" t="s">
        <v>949</v>
      </c>
      <c r="F151" s="36" t="s">
        <v>950</v>
      </c>
      <c r="G151" s="30" t="s">
        <v>840</v>
      </c>
      <c r="H151" s="31"/>
      <c r="I151" s="32" t="s">
        <v>1102</v>
      </c>
      <c r="J151" s="32" t="b">
        <f t="shared" si="4"/>
        <v>0</v>
      </c>
      <c r="K151" s="31">
        <f t="shared" si="5"/>
        <v>0</v>
      </c>
      <c r="L151" s="33"/>
      <c r="M151" s="34"/>
    </row>
    <row r="152" spans="1:13" ht="34.5" customHeight="1" x14ac:dyDescent="0.25">
      <c r="A152" s="26" t="s">
        <v>181</v>
      </c>
      <c r="B152" s="101" t="s">
        <v>951</v>
      </c>
      <c r="C152" s="27" t="s">
        <v>1376</v>
      </c>
      <c r="D152" s="28" t="s">
        <v>1359</v>
      </c>
      <c r="E152" s="36" t="s">
        <v>952</v>
      </c>
      <c r="F152" s="36" t="s">
        <v>953</v>
      </c>
      <c r="G152" s="30">
        <v>99200149</v>
      </c>
      <c r="H152" s="31">
        <v>20000</v>
      </c>
      <c r="I152" s="32" t="s">
        <v>1102</v>
      </c>
      <c r="J152" s="32" t="b">
        <f t="shared" si="4"/>
        <v>0</v>
      </c>
      <c r="K152" s="31">
        <f t="shared" si="5"/>
        <v>0</v>
      </c>
      <c r="L152" s="33"/>
      <c r="M152" s="34"/>
    </row>
    <row r="153" spans="1:13" ht="34.5" customHeight="1" x14ac:dyDescent="0.25">
      <c r="A153" s="26" t="s">
        <v>182</v>
      </c>
      <c r="B153" s="101" t="s">
        <v>665</v>
      </c>
      <c r="C153" s="27" t="s">
        <v>1411</v>
      </c>
      <c r="D153" s="28" t="s">
        <v>1299</v>
      </c>
      <c r="E153" s="36" t="s">
        <v>955</v>
      </c>
      <c r="F153" s="36" t="s">
        <v>853</v>
      </c>
      <c r="G153" s="30" t="s">
        <v>956</v>
      </c>
      <c r="H153" s="31"/>
      <c r="I153" s="32" t="s">
        <v>1016</v>
      </c>
      <c r="J153" s="32" t="b">
        <f t="shared" si="4"/>
        <v>0</v>
      </c>
      <c r="K153" s="31">
        <f t="shared" si="5"/>
        <v>0</v>
      </c>
      <c r="L153" s="33"/>
      <c r="M153" s="34"/>
    </row>
    <row r="154" spans="1:13" ht="34.5" customHeight="1" x14ac:dyDescent="0.25">
      <c r="A154" s="26" t="s">
        <v>183</v>
      </c>
      <c r="B154" s="110" t="s">
        <v>958</v>
      </c>
      <c r="C154" s="27" t="s">
        <v>693</v>
      </c>
      <c r="D154" s="28" t="s">
        <v>1299</v>
      </c>
      <c r="E154" s="78" t="s">
        <v>959</v>
      </c>
      <c r="F154" s="78" t="s">
        <v>960</v>
      </c>
      <c r="G154" s="80" t="s">
        <v>961</v>
      </c>
      <c r="H154" s="31"/>
      <c r="I154" s="32" t="s">
        <v>1016</v>
      </c>
      <c r="J154" s="32" t="b">
        <f t="shared" si="4"/>
        <v>0</v>
      </c>
      <c r="K154" s="31">
        <f t="shared" si="5"/>
        <v>0</v>
      </c>
      <c r="L154" s="33"/>
      <c r="M154" s="34"/>
    </row>
    <row r="155" spans="1:13" ht="34.5" customHeight="1" x14ac:dyDescent="0.25">
      <c r="A155" s="26" t="s">
        <v>184</v>
      </c>
      <c r="B155" s="110" t="s">
        <v>958</v>
      </c>
      <c r="C155" s="27" t="s">
        <v>721</v>
      </c>
      <c r="D155" s="28" t="s">
        <v>1327</v>
      </c>
      <c r="E155" s="77" t="s">
        <v>959</v>
      </c>
      <c r="F155" s="77" t="s">
        <v>960</v>
      </c>
      <c r="G155" s="79" t="s">
        <v>962</v>
      </c>
      <c r="H155" s="31"/>
      <c r="I155" s="32" t="s">
        <v>1016</v>
      </c>
      <c r="J155" s="32" t="b">
        <f t="shared" si="4"/>
        <v>0</v>
      </c>
      <c r="K155" s="31">
        <f t="shared" si="5"/>
        <v>0</v>
      </c>
      <c r="L155" s="33"/>
      <c r="M155" s="34"/>
    </row>
    <row r="156" spans="1:13" ht="34.5" customHeight="1" x14ac:dyDescent="0.25">
      <c r="A156" s="26" t="s">
        <v>185</v>
      </c>
      <c r="B156" s="110" t="s">
        <v>958</v>
      </c>
      <c r="C156" s="27" t="s">
        <v>773</v>
      </c>
      <c r="D156" s="75" t="s">
        <v>1359</v>
      </c>
      <c r="E156" s="77" t="s">
        <v>959</v>
      </c>
      <c r="F156" s="77" t="s">
        <v>960</v>
      </c>
      <c r="G156" s="79" t="s">
        <v>963</v>
      </c>
      <c r="H156" s="31"/>
      <c r="I156" s="32" t="s">
        <v>1102</v>
      </c>
      <c r="J156" s="32" t="b">
        <f t="shared" si="4"/>
        <v>0</v>
      </c>
      <c r="K156" s="31">
        <f t="shared" si="5"/>
        <v>0</v>
      </c>
      <c r="L156" s="33"/>
      <c r="M156" s="34"/>
    </row>
    <row r="157" spans="1:13" ht="34.5" customHeight="1" x14ac:dyDescent="0.25">
      <c r="A157" s="26" t="s">
        <v>186</v>
      </c>
      <c r="B157" s="110" t="s">
        <v>958</v>
      </c>
      <c r="C157" s="27" t="s">
        <v>978</v>
      </c>
      <c r="D157" s="75" t="s">
        <v>1327</v>
      </c>
      <c r="E157" s="77" t="s">
        <v>959</v>
      </c>
      <c r="F157" s="77" t="s">
        <v>960</v>
      </c>
      <c r="G157" s="79" t="s">
        <v>964</v>
      </c>
      <c r="H157" s="31"/>
      <c r="I157" s="32" t="s">
        <v>1016</v>
      </c>
      <c r="J157" s="32" t="b">
        <f t="shared" si="4"/>
        <v>0</v>
      </c>
      <c r="K157" s="31">
        <f t="shared" si="5"/>
        <v>0</v>
      </c>
      <c r="L157" s="33"/>
      <c r="M157" s="34"/>
    </row>
    <row r="158" spans="1:13" ht="34.5" customHeight="1" x14ac:dyDescent="0.25">
      <c r="A158" s="26" t="s">
        <v>187</v>
      </c>
      <c r="B158" s="110" t="s">
        <v>720</v>
      </c>
      <c r="C158" s="27" t="s">
        <v>906</v>
      </c>
      <c r="D158" s="76" t="s">
        <v>909</v>
      </c>
      <c r="E158" s="77" t="s">
        <v>965</v>
      </c>
      <c r="F158" s="77" t="s">
        <v>688</v>
      </c>
      <c r="G158" s="79" t="s">
        <v>966</v>
      </c>
      <c r="H158" s="31"/>
      <c r="I158" s="32" t="s">
        <v>1102</v>
      </c>
      <c r="J158" s="32" t="b">
        <f t="shared" si="4"/>
        <v>0</v>
      </c>
      <c r="K158" s="31">
        <f t="shared" si="5"/>
        <v>0</v>
      </c>
      <c r="L158" s="33"/>
      <c r="M158" s="34"/>
    </row>
    <row r="159" spans="1:13" ht="34.5" customHeight="1" x14ac:dyDescent="0.25">
      <c r="A159" s="26" t="s">
        <v>188</v>
      </c>
      <c r="B159" s="110" t="s">
        <v>720</v>
      </c>
      <c r="C159" s="27" t="s">
        <v>736</v>
      </c>
      <c r="D159" s="28" t="s">
        <v>1327</v>
      </c>
      <c r="E159" s="77" t="s">
        <v>965</v>
      </c>
      <c r="F159" s="77" t="s">
        <v>688</v>
      </c>
      <c r="G159" s="79" t="s">
        <v>967</v>
      </c>
      <c r="H159" s="31"/>
      <c r="I159" s="32" t="s">
        <v>1016</v>
      </c>
      <c r="J159" s="32" t="b">
        <f t="shared" si="4"/>
        <v>0</v>
      </c>
      <c r="K159" s="31">
        <f t="shared" si="5"/>
        <v>0</v>
      </c>
      <c r="L159" s="33"/>
      <c r="M159" s="34"/>
    </row>
    <row r="160" spans="1:13" ht="34.5" customHeight="1" x14ac:dyDescent="0.25">
      <c r="A160" s="26" t="s">
        <v>189</v>
      </c>
      <c r="B160" s="110" t="s">
        <v>968</v>
      </c>
      <c r="C160" s="27" t="s">
        <v>969</v>
      </c>
      <c r="D160" s="75" t="s">
        <v>1327</v>
      </c>
      <c r="E160" s="77" t="s">
        <v>965</v>
      </c>
      <c r="F160" s="78" t="s">
        <v>688</v>
      </c>
      <c r="G160" s="79" t="s">
        <v>970</v>
      </c>
      <c r="H160" s="31"/>
      <c r="I160" s="32" t="s">
        <v>1016</v>
      </c>
      <c r="J160" s="32" t="b">
        <f t="shared" si="4"/>
        <v>0</v>
      </c>
      <c r="K160" s="31">
        <f t="shared" si="5"/>
        <v>0</v>
      </c>
      <c r="L160" s="33"/>
      <c r="M160" s="34"/>
    </row>
    <row r="161" spans="1:13" ht="34.5" customHeight="1" x14ac:dyDescent="0.25">
      <c r="A161" s="26" t="s">
        <v>190</v>
      </c>
      <c r="B161" s="110" t="s">
        <v>968</v>
      </c>
      <c r="C161" s="27" t="s">
        <v>773</v>
      </c>
      <c r="D161" s="28" t="s">
        <v>1359</v>
      </c>
      <c r="E161" s="77" t="s">
        <v>965</v>
      </c>
      <c r="F161" s="78" t="s">
        <v>688</v>
      </c>
      <c r="G161" s="79" t="s">
        <v>971</v>
      </c>
      <c r="H161" s="31"/>
      <c r="I161" s="32" t="s">
        <v>1102</v>
      </c>
      <c r="J161" s="32" t="b">
        <f t="shared" si="4"/>
        <v>0</v>
      </c>
      <c r="K161" s="31">
        <f t="shared" si="5"/>
        <v>0</v>
      </c>
      <c r="L161" s="33"/>
      <c r="M161" s="34"/>
    </row>
    <row r="162" spans="1:13" ht="34.5" customHeight="1" x14ac:dyDescent="0.25">
      <c r="A162" s="26" t="s">
        <v>191</v>
      </c>
      <c r="B162" s="110" t="s">
        <v>958</v>
      </c>
      <c r="C162" s="27" t="s">
        <v>631</v>
      </c>
      <c r="D162" s="28" t="s">
        <v>1299</v>
      </c>
      <c r="E162" s="77"/>
      <c r="F162" s="77" t="s">
        <v>960</v>
      </c>
      <c r="G162" s="79" t="s">
        <v>972</v>
      </c>
      <c r="H162" s="31"/>
      <c r="I162" s="32" t="s">
        <v>1016</v>
      </c>
      <c r="J162" s="32" t="b">
        <f t="shared" si="4"/>
        <v>0</v>
      </c>
      <c r="K162" s="31">
        <f t="shared" si="5"/>
        <v>0</v>
      </c>
      <c r="L162" s="33"/>
      <c r="M162" s="34"/>
    </row>
    <row r="163" spans="1:13" ht="34.5" customHeight="1" x14ac:dyDescent="0.25">
      <c r="A163" s="26" t="s">
        <v>192</v>
      </c>
      <c r="B163" s="111" t="s">
        <v>958</v>
      </c>
      <c r="C163" s="27" t="s">
        <v>957</v>
      </c>
      <c r="D163" s="75" t="s">
        <v>980</v>
      </c>
      <c r="E163" s="77"/>
      <c r="F163" s="77" t="s">
        <v>960</v>
      </c>
      <c r="G163" s="79" t="s">
        <v>973</v>
      </c>
      <c r="H163" s="31"/>
      <c r="I163" s="32" t="s">
        <v>1016</v>
      </c>
      <c r="J163" s="32" t="b">
        <f t="shared" si="4"/>
        <v>0</v>
      </c>
      <c r="K163" s="31">
        <f t="shared" si="5"/>
        <v>0</v>
      </c>
      <c r="L163" s="33"/>
      <c r="M163" s="34"/>
    </row>
    <row r="164" spans="1:13" ht="34.5" customHeight="1" x14ac:dyDescent="0.25">
      <c r="A164" s="26" t="s">
        <v>193</v>
      </c>
      <c r="B164" s="101" t="s">
        <v>640</v>
      </c>
      <c r="C164" s="27" t="s">
        <v>1380</v>
      </c>
      <c r="D164" s="28" t="s">
        <v>668</v>
      </c>
      <c r="E164" s="36" t="s">
        <v>974</v>
      </c>
      <c r="F164" s="36" t="s">
        <v>642</v>
      </c>
      <c r="G164" s="30" t="s">
        <v>975</v>
      </c>
      <c r="H164" s="31"/>
      <c r="I164" s="32" t="s">
        <v>1102</v>
      </c>
      <c r="J164" s="32" t="b">
        <f t="shared" si="4"/>
        <v>0</v>
      </c>
      <c r="K164" s="31">
        <f t="shared" si="5"/>
        <v>0</v>
      </c>
      <c r="L164" s="33"/>
      <c r="M164" s="34"/>
    </row>
    <row r="165" spans="1:13" ht="34.5" customHeight="1" x14ac:dyDescent="0.25">
      <c r="A165" s="26" t="s">
        <v>194</v>
      </c>
      <c r="B165" s="101" t="s">
        <v>977</v>
      </c>
      <c r="C165" s="27" t="s">
        <v>721</v>
      </c>
      <c r="D165" s="28" t="s">
        <v>1327</v>
      </c>
      <c r="E165" s="36"/>
      <c r="F165" s="36" t="s">
        <v>976</v>
      </c>
      <c r="G165" s="30">
        <v>121704963</v>
      </c>
      <c r="H165" s="31"/>
      <c r="I165" s="32" t="s">
        <v>1016</v>
      </c>
      <c r="J165" s="32" t="b">
        <f t="shared" si="4"/>
        <v>0</v>
      </c>
      <c r="K165" s="31">
        <f t="shared" si="5"/>
        <v>0</v>
      </c>
      <c r="L165" s="33"/>
      <c r="M165" s="34"/>
    </row>
    <row r="166" spans="1:13" ht="34.5" customHeight="1" x14ac:dyDescent="0.25">
      <c r="A166" s="26" t="s">
        <v>195</v>
      </c>
      <c r="B166" s="104" t="s">
        <v>983</v>
      </c>
      <c r="C166" s="27" t="s">
        <v>1376</v>
      </c>
      <c r="D166" s="28" t="s">
        <v>979</v>
      </c>
      <c r="E166" s="36" t="s">
        <v>984</v>
      </c>
      <c r="F166" s="36" t="s">
        <v>775</v>
      </c>
      <c r="G166" s="30" t="s">
        <v>840</v>
      </c>
      <c r="H166" s="31">
        <v>2500</v>
      </c>
      <c r="I166" s="32" t="s">
        <v>1102</v>
      </c>
      <c r="J166" s="32" t="b">
        <f t="shared" si="4"/>
        <v>0</v>
      </c>
      <c r="K166" s="31">
        <f t="shared" si="5"/>
        <v>0</v>
      </c>
      <c r="L166" s="33"/>
      <c r="M166" s="34"/>
    </row>
    <row r="167" spans="1:13" ht="34.5" customHeight="1" x14ac:dyDescent="0.25">
      <c r="A167" s="26" t="s">
        <v>196</v>
      </c>
      <c r="B167" s="101" t="s">
        <v>983</v>
      </c>
      <c r="C167" s="27" t="s">
        <v>1376</v>
      </c>
      <c r="D167" s="28" t="s">
        <v>774</v>
      </c>
      <c r="E167" s="36" t="s">
        <v>984</v>
      </c>
      <c r="F167" s="36" t="s">
        <v>775</v>
      </c>
      <c r="G167" s="30" t="s">
        <v>840</v>
      </c>
      <c r="H167" s="31">
        <v>2500</v>
      </c>
      <c r="I167" s="32" t="s">
        <v>1102</v>
      </c>
      <c r="J167" s="32" t="b">
        <f t="shared" si="4"/>
        <v>0</v>
      </c>
      <c r="K167" s="31">
        <f t="shared" si="5"/>
        <v>0</v>
      </c>
      <c r="L167" s="33"/>
      <c r="M167" s="34"/>
    </row>
    <row r="168" spans="1:13" ht="34.5" customHeight="1" x14ac:dyDescent="0.25">
      <c r="A168" s="26" t="s">
        <v>197</v>
      </c>
      <c r="B168" s="101" t="s">
        <v>991</v>
      </c>
      <c r="C168" s="27" t="s">
        <v>1376</v>
      </c>
      <c r="D168" s="28" t="s">
        <v>774</v>
      </c>
      <c r="E168" s="36" t="s">
        <v>992</v>
      </c>
      <c r="F168" s="36" t="s">
        <v>786</v>
      </c>
      <c r="G168" s="30">
        <v>394572</v>
      </c>
      <c r="H168" s="31">
        <v>550</v>
      </c>
      <c r="I168" s="32" t="s">
        <v>1102</v>
      </c>
      <c r="J168" s="32" t="b">
        <f t="shared" si="4"/>
        <v>0</v>
      </c>
      <c r="K168" s="31">
        <f t="shared" si="5"/>
        <v>0</v>
      </c>
      <c r="L168" s="33"/>
      <c r="M168" s="34"/>
    </row>
    <row r="169" spans="1:13" ht="34.5" customHeight="1" x14ac:dyDescent="0.25">
      <c r="A169" s="26" t="s">
        <v>200</v>
      </c>
      <c r="B169" s="101" t="s">
        <v>997</v>
      </c>
      <c r="C169" s="27" t="s">
        <v>1376</v>
      </c>
      <c r="D169" s="28" t="s">
        <v>774</v>
      </c>
      <c r="E169" s="36" t="s">
        <v>998</v>
      </c>
      <c r="F169" s="36" t="s">
        <v>786</v>
      </c>
      <c r="G169" s="30">
        <v>1773667</v>
      </c>
      <c r="H169" s="31"/>
      <c r="I169" s="32" t="s">
        <v>1016</v>
      </c>
      <c r="J169" s="32" t="b">
        <f t="shared" si="4"/>
        <v>0</v>
      </c>
      <c r="K169" s="31">
        <f t="shared" si="5"/>
        <v>0</v>
      </c>
      <c r="L169" s="33"/>
      <c r="M169" s="34"/>
    </row>
    <row r="170" spans="1:13" ht="34.5" customHeight="1" x14ac:dyDescent="0.25">
      <c r="A170" s="26" t="s">
        <v>201</v>
      </c>
      <c r="B170" s="106" t="s">
        <v>997</v>
      </c>
      <c r="C170" s="27" t="s">
        <v>1380</v>
      </c>
      <c r="D170" s="28" t="s">
        <v>668</v>
      </c>
      <c r="E170" s="36" t="s">
        <v>998</v>
      </c>
      <c r="F170" s="36" t="s">
        <v>786</v>
      </c>
      <c r="G170" s="30">
        <v>1586260</v>
      </c>
      <c r="H170" s="31"/>
      <c r="I170" s="32" t="s">
        <v>1016</v>
      </c>
      <c r="J170" s="32" t="b">
        <f t="shared" si="4"/>
        <v>0</v>
      </c>
      <c r="K170" s="31">
        <f t="shared" si="5"/>
        <v>0</v>
      </c>
      <c r="L170" s="33"/>
      <c r="M170" s="34"/>
    </row>
    <row r="171" spans="1:13" ht="34.5" customHeight="1" x14ac:dyDescent="0.25">
      <c r="A171" s="26" t="s">
        <v>202</v>
      </c>
      <c r="B171" s="101" t="s">
        <v>1000</v>
      </c>
      <c r="C171" s="27" t="s">
        <v>721</v>
      </c>
      <c r="D171" s="28" t="s">
        <v>1327</v>
      </c>
      <c r="E171" s="36" t="s">
        <v>1001</v>
      </c>
      <c r="F171" s="36" t="s">
        <v>1002</v>
      </c>
      <c r="G171" s="30" t="s">
        <v>840</v>
      </c>
      <c r="H171" s="31"/>
      <c r="I171" s="32" t="s">
        <v>1016</v>
      </c>
      <c r="J171" s="32" t="b">
        <f t="shared" si="4"/>
        <v>0</v>
      </c>
      <c r="K171" s="31">
        <f t="shared" si="5"/>
        <v>0</v>
      </c>
      <c r="L171" s="33"/>
      <c r="M171" s="34"/>
    </row>
    <row r="172" spans="1:13" ht="34.5" customHeight="1" x14ac:dyDescent="0.25">
      <c r="A172" s="26" t="s">
        <v>203</v>
      </c>
      <c r="B172" s="101" t="s">
        <v>1000</v>
      </c>
      <c r="C172" s="27" t="s">
        <v>736</v>
      </c>
      <c r="D172" s="28" t="s">
        <v>1327</v>
      </c>
      <c r="E172" s="36" t="s">
        <v>1001</v>
      </c>
      <c r="F172" s="36" t="s">
        <v>1002</v>
      </c>
      <c r="G172" s="30" t="s">
        <v>840</v>
      </c>
      <c r="H172" s="31"/>
      <c r="I172" s="32" t="s">
        <v>1016</v>
      </c>
      <c r="J172" s="32" t="b">
        <f t="shared" si="4"/>
        <v>0</v>
      </c>
      <c r="K172" s="31">
        <f t="shared" si="5"/>
        <v>0</v>
      </c>
      <c r="L172" s="33"/>
      <c r="M172" s="34"/>
    </row>
    <row r="173" spans="1:13" ht="34.5" customHeight="1" x14ac:dyDescent="0.25">
      <c r="A173" s="26" t="s">
        <v>204</v>
      </c>
      <c r="B173" s="101" t="s">
        <v>1000</v>
      </c>
      <c r="C173" s="27" t="s">
        <v>906</v>
      </c>
      <c r="D173" s="28" t="s">
        <v>909</v>
      </c>
      <c r="E173" s="36" t="s">
        <v>1001</v>
      </c>
      <c r="F173" s="36" t="s">
        <v>1002</v>
      </c>
      <c r="G173" s="30" t="s">
        <v>840</v>
      </c>
      <c r="H173" s="31"/>
      <c r="I173" s="32" t="s">
        <v>1102</v>
      </c>
      <c r="J173" s="32" t="b">
        <f t="shared" si="4"/>
        <v>0</v>
      </c>
      <c r="K173" s="31">
        <f t="shared" si="5"/>
        <v>0</v>
      </c>
      <c r="L173" s="33"/>
      <c r="M173" s="34"/>
    </row>
    <row r="174" spans="1:13" ht="34.5" customHeight="1" x14ac:dyDescent="0.25">
      <c r="A174" s="26" t="s">
        <v>205</v>
      </c>
      <c r="B174" s="101" t="s">
        <v>1003</v>
      </c>
      <c r="C174" s="27" t="s">
        <v>721</v>
      </c>
      <c r="D174" s="28" t="s">
        <v>1327</v>
      </c>
      <c r="E174" s="36" t="s">
        <v>1006</v>
      </c>
      <c r="F174" s="36" t="s">
        <v>1007</v>
      </c>
      <c r="G174" s="30" t="s">
        <v>840</v>
      </c>
      <c r="H174" s="31"/>
      <c r="I174" s="32" t="s">
        <v>1016</v>
      </c>
      <c r="J174" s="32" t="b">
        <f t="shared" si="4"/>
        <v>0</v>
      </c>
      <c r="K174" s="31">
        <f t="shared" si="5"/>
        <v>0</v>
      </c>
      <c r="L174" s="33"/>
      <c r="M174" s="34"/>
    </row>
    <row r="175" spans="1:13" ht="34.5" customHeight="1" x14ac:dyDescent="0.25">
      <c r="A175" s="26" t="s">
        <v>208</v>
      </c>
      <c r="B175" s="101" t="s">
        <v>1008</v>
      </c>
      <c r="C175" s="27" t="s">
        <v>1376</v>
      </c>
      <c r="D175" s="28" t="s">
        <v>1009</v>
      </c>
      <c r="E175" s="36" t="s">
        <v>1011</v>
      </c>
      <c r="F175" s="36" t="s">
        <v>1010</v>
      </c>
      <c r="G175" s="30" t="s">
        <v>1012</v>
      </c>
      <c r="H175" s="31"/>
      <c r="I175" s="32" t="s">
        <v>1016</v>
      </c>
      <c r="J175" s="32" t="b">
        <f t="shared" si="4"/>
        <v>0</v>
      </c>
      <c r="K175" s="31">
        <f t="shared" si="5"/>
        <v>0</v>
      </c>
      <c r="L175" s="33"/>
      <c r="M175" s="34"/>
    </row>
    <row r="176" spans="1:13" ht="34.5" customHeight="1" x14ac:dyDescent="0.25">
      <c r="A176" s="26" t="s">
        <v>209</v>
      </c>
      <c r="B176" s="101" t="s">
        <v>1015</v>
      </c>
      <c r="C176" s="27" t="s">
        <v>1376</v>
      </c>
      <c r="D176" s="28" t="s">
        <v>1359</v>
      </c>
      <c r="E176" s="29" t="s">
        <v>1013</v>
      </c>
      <c r="F176" s="36" t="s">
        <v>1014</v>
      </c>
      <c r="G176" s="30" t="s">
        <v>840</v>
      </c>
      <c r="H176" s="31"/>
      <c r="I176" s="32" t="s">
        <v>1016</v>
      </c>
      <c r="J176" s="32" t="b">
        <f t="shared" si="4"/>
        <v>0</v>
      </c>
      <c r="K176" s="31">
        <f t="shared" si="5"/>
        <v>0</v>
      </c>
      <c r="L176" s="33"/>
      <c r="M176" s="34"/>
    </row>
    <row r="177" spans="1:13" ht="34.5" customHeight="1" x14ac:dyDescent="0.25">
      <c r="A177" s="26" t="s">
        <v>210</v>
      </c>
      <c r="B177" s="106" t="s">
        <v>1022</v>
      </c>
      <c r="C177" s="27" t="s">
        <v>1380</v>
      </c>
      <c r="D177" s="28" t="s">
        <v>668</v>
      </c>
      <c r="E177" s="36" t="s">
        <v>1023</v>
      </c>
      <c r="F177" s="36" t="s">
        <v>1018</v>
      </c>
      <c r="G177" s="30" t="s">
        <v>840</v>
      </c>
      <c r="H177" s="31"/>
      <c r="I177" s="32" t="s">
        <v>1016</v>
      </c>
      <c r="J177" s="32" t="b">
        <f t="shared" si="4"/>
        <v>0</v>
      </c>
      <c r="K177" s="31">
        <f t="shared" si="5"/>
        <v>0</v>
      </c>
      <c r="L177" s="33"/>
      <c r="M177" s="34"/>
    </row>
    <row r="178" spans="1:13" ht="34.5" customHeight="1" x14ac:dyDescent="0.25">
      <c r="A178" s="26" t="s">
        <v>211</v>
      </c>
      <c r="B178" s="101" t="s">
        <v>1017</v>
      </c>
      <c r="C178" s="27" t="s">
        <v>1380</v>
      </c>
      <c r="D178" s="28" t="s">
        <v>668</v>
      </c>
      <c r="E178" s="36" t="s">
        <v>1021</v>
      </c>
      <c r="F178" s="36" t="s">
        <v>1018</v>
      </c>
      <c r="G178" s="30" t="s">
        <v>840</v>
      </c>
      <c r="H178" s="31"/>
      <c r="I178" s="32" t="s">
        <v>1016</v>
      </c>
      <c r="J178" s="32" t="b">
        <f t="shared" si="4"/>
        <v>0</v>
      </c>
      <c r="K178" s="31">
        <f t="shared" si="5"/>
        <v>0</v>
      </c>
      <c r="L178" s="33"/>
      <c r="M178" s="34"/>
    </row>
    <row r="179" spans="1:13" ht="34.5" customHeight="1" x14ac:dyDescent="0.25">
      <c r="A179" s="26" t="s">
        <v>212</v>
      </c>
      <c r="B179" s="101" t="s">
        <v>1019</v>
      </c>
      <c r="C179" s="27" t="s">
        <v>1380</v>
      </c>
      <c r="D179" s="28" t="s">
        <v>668</v>
      </c>
      <c r="E179" s="36" t="s">
        <v>1020</v>
      </c>
      <c r="F179" s="36" t="s">
        <v>1018</v>
      </c>
      <c r="G179" s="30" t="s">
        <v>840</v>
      </c>
      <c r="H179" s="31"/>
      <c r="I179" s="32" t="s">
        <v>1016</v>
      </c>
      <c r="J179" s="32" t="b">
        <f t="shared" si="4"/>
        <v>0</v>
      </c>
      <c r="K179" s="31">
        <f t="shared" si="5"/>
        <v>0</v>
      </c>
      <c r="L179" s="33"/>
      <c r="M179" s="34"/>
    </row>
    <row r="180" spans="1:13" ht="34.5" customHeight="1" x14ac:dyDescent="0.25">
      <c r="A180" s="26" t="s">
        <v>214</v>
      </c>
      <c r="B180" s="101" t="s">
        <v>1026</v>
      </c>
      <c r="C180" s="27" t="s">
        <v>1380</v>
      </c>
      <c r="D180" s="28" t="s">
        <v>668</v>
      </c>
      <c r="E180" s="36" t="s">
        <v>1025</v>
      </c>
      <c r="F180" s="36" t="s">
        <v>1018</v>
      </c>
      <c r="G180" s="30" t="s">
        <v>840</v>
      </c>
      <c r="H180" s="31"/>
      <c r="I180" s="32" t="s">
        <v>1016</v>
      </c>
      <c r="J180" s="32" t="b">
        <f t="shared" si="4"/>
        <v>0</v>
      </c>
      <c r="K180" s="31">
        <f t="shared" si="5"/>
        <v>0</v>
      </c>
      <c r="L180" s="33"/>
      <c r="M180" s="34"/>
    </row>
    <row r="181" spans="1:13" ht="34.5" customHeight="1" x14ac:dyDescent="0.25">
      <c r="A181" s="26" t="s">
        <v>225</v>
      </c>
      <c r="B181" s="101" t="s">
        <v>1046</v>
      </c>
      <c r="C181" s="27" t="s">
        <v>1380</v>
      </c>
      <c r="D181" s="28" t="s">
        <v>668</v>
      </c>
      <c r="E181" s="36" t="s">
        <v>1045</v>
      </c>
      <c r="F181" s="36" t="s">
        <v>1018</v>
      </c>
      <c r="G181" s="30" t="s">
        <v>840</v>
      </c>
      <c r="H181" s="31"/>
      <c r="I181" s="32" t="s">
        <v>1016</v>
      </c>
      <c r="J181" s="32" t="b">
        <f t="shared" ref="J181:J187" si="6">IF(I181="b","0,6",IF(I181="r","0,2",IF(I181="o",0.8)))</f>
        <v>0</v>
      </c>
      <c r="K181" s="31">
        <f t="shared" ref="K181:K213" si="7">J181*H181</f>
        <v>0</v>
      </c>
      <c r="L181" s="33"/>
      <c r="M181" s="34"/>
    </row>
    <row r="182" spans="1:13" ht="34.5" customHeight="1" x14ac:dyDescent="0.25">
      <c r="A182" s="26" t="s">
        <v>226</v>
      </c>
      <c r="B182" s="101" t="s">
        <v>1047</v>
      </c>
      <c r="C182" s="27" t="s">
        <v>1380</v>
      </c>
      <c r="D182" s="28" t="s">
        <v>668</v>
      </c>
      <c r="E182" s="36" t="s">
        <v>1048</v>
      </c>
      <c r="F182" s="36" t="s">
        <v>1018</v>
      </c>
      <c r="G182" s="30" t="s">
        <v>840</v>
      </c>
      <c r="H182" s="31"/>
      <c r="I182" s="32" t="s">
        <v>1016</v>
      </c>
      <c r="J182" s="32" t="b">
        <f t="shared" si="6"/>
        <v>0</v>
      </c>
      <c r="K182" s="31">
        <f t="shared" si="7"/>
        <v>0</v>
      </c>
      <c r="L182" s="33"/>
      <c r="M182" s="34"/>
    </row>
    <row r="183" spans="1:13" ht="34.5" customHeight="1" x14ac:dyDescent="0.25">
      <c r="A183" s="26" t="s">
        <v>228</v>
      </c>
      <c r="B183" s="106" t="s">
        <v>997</v>
      </c>
      <c r="C183" s="27" t="s">
        <v>1380</v>
      </c>
      <c r="D183" s="28" t="s">
        <v>668</v>
      </c>
      <c r="E183" s="36" t="s">
        <v>1052</v>
      </c>
      <c r="F183" s="36" t="s">
        <v>1053</v>
      </c>
      <c r="G183" s="30" t="s">
        <v>1054</v>
      </c>
      <c r="H183" s="31"/>
      <c r="I183" s="32" t="s">
        <v>1016</v>
      </c>
      <c r="J183" s="32" t="b">
        <f t="shared" si="6"/>
        <v>0</v>
      </c>
      <c r="K183" s="31">
        <f t="shared" si="7"/>
        <v>0</v>
      </c>
      <c r="L183" s="33"/>
      <c r="M183" s="34"/>
    </row>
    <row r="184" spans="1:13" ht="34.5" customHeight="1" x14ac:dyDescent="0.25">
      <c r="A184" s="26" t="s">
        <v>229</v>
      </c>
      <c r="B184" s="101" t="s">
        <v>1055</v>
      </c>
      <c r="C184" s="27" t="s">
        <v>957</v>
      </c>
      <c r="D184" s="28" t="s">
        <v>981</v>
      </c>
      <c r="E184" s="36" t="s">
        <v>1056</v>
      </c>
      <c r="F184" s="36" t="s">
        <v>1057</v>
      </c>
      <c r="G184" s="30" t="s">
        <v>840</v>
      </c>
      <c r="H184" s="31"/>
      <c r="I184" s="32" t="s">
        <v>1016</v>
      </c>
      <c r="J184" s="32" t="b">
        <f t="shared" si="6"/>
        <v>0</v>
      </c>
      <c r="K184" s="31">
        <f t="shared" si="7"/>
        <v>0</v>
      </c>
      <c r="L184" s="33"/>
      <c r="M184" s="34"/>
    </row>
    <row r="185" spans="1:13" ht="34.5" customHeight="1" x14ac:dyDescent="0.25">
      <c r="A185" s="26" t="s">
        <v>231</v>
      </c>
      <c r="B185" s="101" t="s">
        <v>1058</v>
      </c>
      <c r="C185" s="27" t="s">
        <v>990</v>
      </c>
      <c r="D185" s="28" t="s">
        <v>668</v>
      </c>
      <c r="E185" s="36" t="s">
        <v>1060</v>
      </c>
      <c r="F185" s="36" t="s">
        <v>1061</v>
      </c>
      <c r="G185" s="30" t="s">
        <v>840</v>
      </c>
      <c r="H185" s="31"/>
      <c r="I185" s="32" t="s">
        <v>1016</v>
      </c>
      <c r="J185" s="32" t="b">
        <f t="shared" si="6"/>
        <v>0</v>
      </c>
      <c r="K185" s="31">
        <f t="shared" si="7"/>
        <v>0</v>
      </c>
      <c r="L185" s="33"/>
      <c r="M185" s="34"/>
    </row>
    <row r="186" spans="1:13" ht="34.5" customHeight="1" x14ac:dyDescent="0.25">
      <c r="A186" s="26" t="s">
        <v>232</v>
      </c>
      <c r="B186" s="101" t="s">
        <v>1058</v>
      </c>
      <c r="C186" s="27" t="s">
        <v>990</v>
      </c>
      <c r="D186" s="28" t="s">
        <v>668</v>
      </c>
      <c r="E186" s="36" t="s">
        <v>1060</v>
      </c>
      <c r="F186" s="36" t="s">
        <v>1061</v>
      </c>
      <c r="G186" s="30" t="s">
        <v>840</v>
      </c>
      <c r="H186" s="31"/>
      <c r="I186" s="32" t="s">
        <v>1016</v>
      </c>
      <c r="J186" s="32" t="b">
        <f t="shared" si="6"/>
        <v>0</v>
      </c>
      <c r="K186" s="31">
        <f t="shared" si="7"/>
        <v>0</v>
      </c>
      <c r="L186" s="33"/>
      <c r="M186" s="34"/>
    </row>
    <row r="187" spans="1:13" ht="34.5" customHeight="1" x14ac:dyDescent="0.25">
      <c r="A187" s="26" t="s">
        <v>233</v>
      </c>
      <c r="B187" s="101" t="s">
        <v>1249</v>
      </c>
      <c r="C187" s="27" t="s">
        <v>1382</v>
      </c>
      <c r="D187" s="28" t="s">
        <v>774</v>
      </c>
      <c r="E187" s="36" t="s">
        <v>1063</v>
      </c>
      <c r="F187" s="36" t="s">
        <v>1107</v>
      </c>
      <c r="G187" s="30" t="s">
        <v>840</v>
      </c>
      <c r="H187" s="31"/>
      <c r="I187" s="32" t="s">
        <v>1064</v>
      </c>
      <c r="J187" s="32" t="b">
        <f t="shared" si="6"/>
        <v>0</v>
      </c>
      <c r="K187" s="31">
        <f t="shared" si="7"/>
        <v>0</v>
      </c>
      <c r="L187" s="33"/>
      <c r="M187" s="34"/>
    </row>
    <row r="188" spans="1:13" ht="34.5" customHeight="1" x14ac:dyDescent="0.25">
      <c r="A188" s="26" t="s">
        <v>244</v>
      </c>
      <c r="B188" s="106" t="s">
        <v>1083</v>
      </c>
      <c r="C188" s="27" t="s">
        <v>1380</v>
      </c>
      <c r="D188" s="28" t="s">
        <v>668</v>
      </c>
      <c r="E188" s="36" t="s">
        <v>1084</v>
      </c>
      <c r="F188" s="36" t="s">
        <v>1085</v>
      </c>
      <c r="G188" s="30" t="s">
        <v>840</v>
      </c>
      <c r="H188" s="31"/>
      <c r="I188" s="32" t="s">
        <v>1072</v>
      </c>
      <c r="J188" s="32" t="b">
        <f t="shared" ref="J188:J203" si="8">IF(I188="b","0,6",IF(I188="r","0,2",IF(I188="o",0.8)))</f>
        <v>0</v>
      </c>
      <c r="K188" s="31">
        <f t="shared" si="7"/>
        <v>0</v>
      </c>
      <c r="L188" s="33"/>
      <c r="M188" s="34"/>
    </row>
    <row r="189" spans="1:13" ht="34.5" customHeight="1" x14ac:dyDescent="0.25">
      <c r="A189" s="49" t="s">
        <v>262</v>
      </c>
      <c r="B189" s="101" t="s">
        <v>1249</v>
      </c>
      <c r="C189" s="27" t="s">
        <v>1381</v>
      </c>
      <c r="D189" s="28" t="s">
        <v>774</v>
      </c>
      <c r="E189" s="36" t="s">
        <v>1063</v>
      </c>
      <c r="F189" s="36" t="s">
        <v>1107</v>
      </c>
      <c r="G189" s="30" t="s">
        <v>840</v>
      </c>
      <c r="H189" s="31"/>
      <c r="I189" s="32" t="s">
        <v>1064</v>
      </c>
      <c r="J189" s="32" t="b">
        <f t="shared" si="8"/>
        <v>0</v>
      </c>
      <c r="K189" s="61">
        <f t="shared" si="7"/>
        <v>0</v>
      </c>
      <c r="L189" s="69"/>
      <c r="M189" s="34"/>
    </row>
    <row r="190" spans="1:13" ht="34.5" customHeight="1" x14ac:dyDescent="0.25">
      <c r="A190" s="49" t="s">
        <v>264</v>
      </c>
      <c r="B190" s="107" t="s">
        <v>1097</v>
      </c>
      <c r="C190" s="27" t="s">
        <v>1380</v>
      </c>
      <c r="D190" s="28" t="s">
        <v>668</v>
      </c>
      <c r="E190" s="36" t="s">
        <v>1109</v>
      </c>
      <c r="F190" s="36" t="s">
        <v>1110</v>
      </c>
      <c r="G190" s="30" t="s">
        <v>840</v>
      </c>
      <c r="H190" s="31"/>
      <c r="I190" s="32" t="s">
        <v>1016</v>
      </c>
      <c r="J190" s="32" t="b">
        <f t="shared" si="8"/>
        <v>0</v>
      </c>
      <c r="K190" s="31">
        <f t="shared" si="7"/>
        <v>0</v>
      </c>
      <c r="L190" s="33"/>
      <c r="M190" s="34"/>
    </row>
    <row r="191" spans="1:13" ht="34.5" customHeight="1" x14ac:dyDescent="0.25">
      <c r="A191" s="26" t="s">
        <v>266</v>
      </c>
      <c r="B191" s="106" t="s">
        <v>1094</v>
      </c>
      <c r="C191" s="27" t="s">
        <v>1380</v>
      </c>
      <c r="D191" s="28" t="s">
        <v>668</v>
      </c>
      <c r="E191" s="36" t="s">
        <v>1111</v>
      </c>
      <c r="F191" s="36"/>
      <c r="G191" s="30" t="s">
        <v>840</v>
      </c>
      <c r="H191" s="31"/>
      <c r="I191" s="32" t="s">
        <v>1102</v>
      </c>
      <c r="J191" s="32" t="b">
        <f t="shared" si="8"/>
        <v>0</v>
      </c>
      <c r="K191" s="31">
        <f t="shared" si="7"/>
        <v>0</v>
      </c>
      <c r="L191" s="33"/>
      <c r="M191" s="34"/>
    </row>
    <row r="192" spans="1:13" ht="34.5" customHeight="1" x14ac:dyDescent="0.25">
      <c r="A192" s="26" t="s">
        <v>268</v>
      </c>
      <c r="B192" s="104" t="s">
        <v>1113</v>
      </c>
      <c r="C192" s="27" t="s">
        <v>1062</v>
      </c>
      <c r="D192" s="28" t="s">
        <v>774</v>
      </c>
      <c r="E192" s="36" t="s">
        <v>1114</v>
      </c>
      <c r="F192" s="36" t="s">
        <v>1115</v>
      </c>
      <c r="G192" s="30" t="s">
        <v>840</v>
      </c>
      <c r="H192" s="31"/>
      <c r="I192" s="32" t="s">
        <v>1016</v>
      </c>
      <c r="J192" s="32" t="b">
        <f t="shared" si="8"/>
        <v>0</v>
      </c>
      <c r="K192" s="31">
        <f t="shared" si="7"/>
        <v>0</v>
      </c>
      <c r="L192" s="33"/>
      <c r="M192" s="34"/>
    </row>
    <row r="193" spans="1:13" ht="34.5" customHeight="1" x14ac:dyDescent="0.25">
      <c r="A193" s="26" t="s">
        <v>274</v>
      </c>
      <c r="B193" s="101" t="s">
        <v>1117</v>
      </c>
      <c r="C193" s="27" t="s">
        <v>1383</v>
      </c>
      <c r="D193" s="28" t="s">
        <v>1419</v>
      </c>
      <c r="E193" s="33">
        <v>37260</v>
      </c>
      <c r="F193" s="36" t="s">
        <v>1118</v>
      </c>
      <c r="G193" s="30" t="s">
        <v>1119</v>
      </c>
      <c r="H193" s="31"/>
      <c r="I193" s="32" t="s">
        <v>1016</v>
      </c>
      <c r="J193" s="32" t="b">
        <f t="shared" si="8"/>
        <v>0</v>
      </c>
      <c r="K193" s="31">
        <f t="shared" si="7"/>
        <v>0</v>
      </c>
      <c r="L193" s="33"/>
      <c r="M193" s="34"/>
    </row>
    <row r="194" spans="1:13" ht="34.5" customHeight="1" x14ac:dyDescent="0.25">
      <c r="A194" s="26" t="s">
        <v>275</v>
      </c>
      <c r="B194" s="101" t="s">
        <v>1058</v>
      </c>
      <c r="C194" s="27" t="s">
        <v>1123</v>
      </c>
      <c r="D194" s="28" t="s">
        <v>668</v>
      </c>
      <c r="E194" s="36" t="s">
        <v>1120</v>
      </c>
      <c r="F194" s="36" t="s">
        <v>1121</v>
      </c>
      <c r="G194" s="30" t="s">
        <v>840</v>
      </c>
      <c r="H194" s="31"/>
      <c r="I194" s="32" t="s">
        <v>1016</v>
      </c>
      <c r="J194" s="32" t="b">
        <f t="shared" si="8"/>
        <v>0</v>
      </c>
      <c r="K194" s="31">
        <f t="shared" si="7"/>
        <v>0</v>
      </c>
      <c r="L194" s="33"/>
      <c r="M194" s="34"/>
    </row>
    <row r="195" spans="1:13" ht="34.5" customHeight="1" x14ac:dyDescent="0.25">
      <c r="A195" s="26" t="s">
        <v>276</v>
      </c>
      <c r="B195" s="101" t="s">
        <v>1058</v>
      </c>
      <c r="C195" s="27" t="s">
        <v>1123</v>
      </c>
      <c r="D195" s="28" t="s">
        <v>668</v>
      </c>
      <c r="E195" s="36" t="s">
        <v>1120</v>
      </c>
      <c r="F195" s="36" t="s">
        <v>1121</v>
      </c>
      <c r="G195" s="30" t="s">
        <v>840</v>
      </c>
      <c r="H195" s="31"/>
      <c r="I195" s="32" t="s">
        <v>1016</v>
      </c>
      <c r="J195" s="32" t="b">
        <f t="shared" si="8"/>
        <v>0</v>
      </c>
      <c r="K195" s="31">
        <f t="shared" si="7"/>
        <v>0</v>
      </c>
      <c r="L195" s="33"/>
      <c r="M195" s="34"/>
    </row>
    <row r="196" spans="1:13" ht="34.5" customHeight="1" x14ac:dyDescent="0.25">
      <c r="A196" s="26" t="s">
        <v>277</v>
      </c>
      <c r="B196" s="101" t="s">
        <v>1124</v>
      </c>
      <c r="C196" s="27" t="s">
        <v>830</v>
      </c>
      <c r="D196" s="28" t="s">
        <v>1327</v>
      </c>
      <c r="E196" s="36" t="s">
        <v>1125</v>
      </c>
      <c r="F196" s="36" t="s">
        <v>1126</v>
      </c>
      <c r="G196" s="30" t="s">
        <v>840</v>
      </c>
      <c r="H196" s="31"/>
      <c r="I196" s="32" t="s">
        <v>1016</v>
      </c>
      <c r="J196" s="32" t="b">
        <f t="shared" si="8"/>
        <v>0</v>
      </c>
      <c r="K196" s="31">
        <f t="shared" si="7"/>
        <v>0</v>
      </c>
      <c r="L196" s="33"/>
      <c r="M196" s="34"/>
    </row>
    <row r="197" spans="1:13" ht="34.5" customHeight="1" x14ac:dyDescent="0.25">
      <c r="A197" s="26" t="s">
        <v>278</v>
      </c>
      <c r="B197" s="101" t="s">
        <v>885</v>
      </c>
      <c r="C197" s="27" t="s">
        <v>1376</v>
      </c>
      <c r="D197" s="28" t="s">
        <v>774</v>
      </c>
      <c r="E197" s="36" t="s">
        <v>1127</v>
      </c>
      <c r="F197" s="36" t="s">
        <v>853</v>
      </c>
      <c r="G197" s="30" t="s">
        <v>840</v>
      </c>
      <c r="H197" s="31">
        <v>2200</v>
      </c>
      <c r="I197" s="32" t="s">
        <v>1016</v>
      </c>
      <c r="J197" s="32" t="b">
        <f t="shared" si="8"/>
        <v>0</v>
      </c>
      <c r="K197" s="31">
        <f t="shared" si="7"/>
        <v>0</v>
      </c>
      <c r="L197" s="33"/>
      <c r="M197" s="34"/>
    </row>
    <row r="198" spans="1:13" ht="34.5" customHeight="1" x14ac:dyDescent="0.25">
      <c r="A198" s="26" t="s">
        <v>279</v>
      </c>
      <c r="B198" s="101" t="s">
        <v>885</v>
      </c>
      <c r="C198" s="27" t="s">
        <v>1376</v>
      </c>
      <c r="D198" s="28" t="s">
        <v>774</v>
      </c>
      <c r="E198" s="36" t="s">
        <v>1127</v>
      </c>
      <c r="F198" s="36" t="s">
        <v>853</v>
      </c>
      <c r="G198" s="30" t="s">
        <v>840</v>
      </c>
      <c r="H198" s="31">
        <v>2200</v>
      </c>
      <c r="I198" s="32" t="s">
        <v>1016</v>
      </c>
      <c r="J198" s="32" t="b">
        <f t="shared" si="8"/>
        <v>0</v>
      </c>
      <c r="K198" s="31">
        <f t="shared" si="7"/>
        <v>0</v>
      </c>
      <c r="L198" s="33"/>
      <c r="M198" s="34"/>
    </row>
    <row r="199" spans="1:13" ht="34.5" customHeight="1" x14ac:dyDescent="0.25">
      <c r="A199" s="26" t="s">
        <v>280</v>
      </c>
      <c r="B199" s="101" t="s">
        <v>885</v>
      </c>
      <c r="C199" s="27" t="s">
        <v>1376</v>
      </c>
      <c r="D199" s="28" t="s">
        <v>774</v>
      </c>
      <c r="E199" s="36" t="s">
        <v>1127</v>
      </c>
      <c r="F199" s="36" t="s">
        <v>853</v>
      </c>
      <c r="G199" s="30" t="s">
        <v>840</v>
      </c>
      <c r="H199" s="31">
        <v>2200</v>
      </c>
      <c r="I199" s="32" t="s">
        <v>1016</v>
      </c>
      <c r="J199" s="32" t="b">
        <f t="shared" si="8"/>
        <v>0</v>
      </c>
      <c r="K199" s="31">
        <f t="shared" si="7"/>
        <v>0</v>
      </c>
      <c r="L199" s="33"/>
      <c r="M199" s="34"/>
    </row>
    <row r="200" spans="1:13" ht="34.5" customHeight="1" x14ac:dyDescent="0.25">
      <c r="A200" s="26" t="s">
        <v>281</v>
      </c>
      <c r="B200" s="97" t="s">
        <v>890</v>
      </c>
      <c r="C200" s="27" t="s">
        <v>1376</v>
      </c>
      <c r="D200" s="28" t="s">
        <v>774</v>
      </c>
      <c r="E200" s="53" t="s">
        <v>891</v>
      </c>
      <c r="F200" s="53" t="s">
        <v>892</v>
      </c>
      <c r="G200" s="30" t="s">
        <v>840</v>
      </c>
      <c r="H200" s="31">
        <v>1580</v>
      </c>
      <c r="I200" s="32" t="s">
        <v>1016</v>
      </c>
      <c r="J200" s="32" t="b">
        <f t="shared" si="8"/>
        <v>0</v>
      </c>
      <c r="K200" s="31">
        <f t="shared" si="7"/>
        <v>0</v>
      </c>
      <c r="L200" s="33"/>
      <c r="M200" s="34"/>
    </row>
    <row r="201" spans="1:13" ht="34.5" customHeight="1" x14ac:dyDescent="0.25">
      <c r="A201" s="26" t="s">
        <v>282</v>
      </c>
      <c r="B201" s="97" t="s">
        <v>890</v>
      </c>
      <c r="C201" s="27" t="s">
        <v>1376</v>
      </c>
      <c r="D201" s="28" t="s">
        <v>774</v>
      </c>
      <c r="E201" s="53" t="s">
        <v>891</v>
      </c>
      <c r="F201" s="53" t="s">
        <v>892</v>
      </c>
      <c r="G201" s="30" t="s">
        <v>840</v>
      </c>
      <c r="H201" s="31">
        <v>1580</v>
      </c>
      <c r="I201" s="32" t="s">
        <v>1016</v>
      </c>
      <c r="J201" s="32" t="b">
        <f t="shared" si="8"/>
        <v>0</v>
      </c>
      <c r="K201" s="31">
        <f t="shared" si="7"/>
        <v>0</v>
      </c>
      <c r="L201" s="33"/>
      <c r="M201" s="34"/>
    </row>
    <row r="202" spans="1:13" ht="34.5" customHeight="1" x14ac:dyDescent="0.25">
      <c r="A202" s="26" t="s">
        <v>283</v>
      </c>
      <c r="B202" s="101" t="s">
        <v>1129</v>
      </c>
      <c r="C202" s="27" t="s">
        <v>1380</v>
      </c>
      <c r="D202" s="28" t="s">
        <v>668</v>
      </c>
      <c r="E202" s="36" t="s">
        <v>1128</v>
      </c>
      <c r="F202" s="36" t="s">
        <v>1132</v>
      </c>
      <c r="G202" s="30">
        <v>1161754</v>
      </c>
      <c r="H202" s="31"/>
      <c r="I202" s="32" t="s">
        <v>1016</v>
      </c>
      <c r="J202" s="32" t="b">
        <f t="shared" si="8"/>
        <v>0</v>
      </c>
      <c r="K202" s="31">
        <f t="shared" si="7"/>
        <v>0</v>
      </c>
      <c r="L202" s="33"/>
      <c r="M202" s="34"/>
    </row>
    <row r="203" spans="1:13" ht="34.5" customHeight="1" x14ac:dyDescent="0.25">
      <c r="A203" s="26" t="s">
        <v>284</v>
      </c>
      <c r="B203" s="101" t="s">
        <v>1129</v>
      </c>
      <c r="C203" s="27" t="s">
        <v>1380</v>
      </c>
      <c r="D203" s="28" t="s">
        <v>668</v>
      </c>
      <c r="E203" s="36" t="s">
        <v>1128</v>
      </c>
      <c r="F203" s="36" t="s">
        <v>1132</v>
      </c>
      <c r="G203" s="30">
        <v>1161754</v>
      </c>
      <c r="H203" s="31"/>
      <c r="I203" s="32" t="s">
        <v>1016</v>
      </c>
      <c r="J203" s="32" t="b">
        <f t="shared" si="8"/>
        <v>0</v>
      </c>
      <c r="K203" s="31">
        <f t="shared" si="7"/>
        <v>0</v>
      </c>
      <c r="L203" s="33"/>
      <c r="M203" s="34"/>
    </row>
    <row r="204" spans="1:13" ht="34.5" customHeight="1" x14ac:dyDescent="0.25">
      <c r="A204" s="26" t="s">
        <v>285</v>
      </c>
      <c r="B204" s="101" t="s">
        <v>1130</v>
      </c>
      <c r="C204" s="27" t="s">
        <v>1380</v>
      </c>
      <c r="D204" s="28" t="s">
        <v>668</v>
      </c>
      <c r="E204" s="36" t="s">
        <v>1131</v>
      </c>
      <c r="F204" s="36" t="s">
        <v>1132</v>
      </c>
      <c r="G204" s="30" t="s">
        <v>840</v>
      </c>
      <c r="H204" s="31"/>
      <c r="I204" s="32" t="s">
        <v>1016</v>
      </c>
      <c r="J204" s="32" t="b">
        <f t="shared" ref="J204:J216" si="9">IF(I204="b","0,6",IF(I204="r","0,2",IF(I204="o",0.8)))</f>
        <v>0</v>
      </c>
      <c r="K204" s="31">
        <f t="shared" si="7"/>
        <v>0</v>
      </c>
      <c r="L204" s="33"/>
      <c r="M204" s="34"/>
    </row>
    <row r="205" spans="1:13" ht="34.5" customHeight="1" x14ac:dyDescent="0.25">
      <c r="A205" s="26" t="s">
        <v>287</v>
      </c>
      <c r="B205" s="101" t="s">
        <v>846</v>
      </c>
      <c r="C205" s="27" t="s">
        <v>1135</v>
      </c>
      <c r="D205" s="75" t="s">
        <v>1299</v>
      </c>
      <c r="E205" s="36" t="s">
        <v>1137</v>
      </c>
      <c r="F205" s="36" t="s">
        <v>960</v>
      </c>
      <c r="G205" s="30" t="s">
        <v>959</v>
      </c>
      <c r="H205" s="31"/>
      <c r="I205" s="32" t="s">
        <v>1016</v>
      </c>
      <c r="J205" s="32" t="b">
        <f t="shared" si="9"/>
        <v>0</v>
      </c>
      <c r="K205" s="31">
        <f t="shared" si="7"/>
        <v>0</v>
      </c>
      <c r="L205" s="33"/>
      <c r="M205" s="34"/>
    </row>
    <row r="206" spans="1:13" ht="34.5" customHeight="1" x14ac:dyDescent="0.25">
      <c r="A206" s="26" t="s">
        <v>288</v>
      </c>
      <c r="B206" s="101" t="s">
        <v>1138</v>
      </c>
      <c r="C206" s="27" t="s">
        <v>1380</v>
      </c>
      <c r="D206" s="28" t="s">
        <v>668</v>
      </c>
      <c r="E206" s="36"/>
      <c r="F206" s="36" t="s">
        <v>1139</v>
      </c>
      <c r="G206" s="30" t="s">
        <v>840</v>
      </c>
      <c r="H206" s="31"/>
      <c r="I206" s="32" t="s">
        <v>1016</v>
      </c>
      <c r="J206" s="32" t="b">
        <f t="shared" si="9"/>
        <v>0</v>
      </c>
      <c r="K206" s="31">
        <f t="shared" si="7"/>
        <v>0</v>
      </c>
      <c r="L206" s="33"/>
      <c r="M206" s="34"/>
    </row>
    <row r="207" spans="1:13" ht="34.5" customHeight="1" x14ac:dyDescent="0.25">
      <c r="A207" s="26" t="s">
        <v>289</v>
      </c>
      <c r="B207" s="101" t="s">
        <v>1140</v>
      </c>
      <c r="C207" s="27" t="s">
        <v>1376</v>
      </c>
      <c r="D207" s="28" t="s">
        <v>1359</v>
      </c>
      <c r="E207" s="36" t="s">
        <v>1141</v>
      </c>
      <c r="F207" s="36" t="s">
        <v>1142</v>
      </c>
      <c r="G207" s="30" t="s">
        <v>840</v>
      </c>
      <c r="H207" s="31"/>
      <c r="I207" s="32" t="s">
        <v>1016</v>
      </c>
      <c r="J207" s="32" t="b">
        <f t="shared" si="9"/>
        <v>0</v>
      </c>
      <c r="K207" s="31">
        <f t="shared" si="7"/>
        <v>0</v>
      </c>
      <c r="L207" s="33"/>
      <c r="M207" s="34"/>
    </row>
    <row r="208" spans="1:13" ht="34.5" customHeight="1" x14ac:dyDescent="0.25">
      <c r="A208" s="26" t="s">
        <v>291</v>
      </c>
      <c r="B208" s="101" t="s">
        <v>1147</v>
      </c>
      <c r="C208" s="27" t="s">
        <v>1380</v>
      </c>
      <c r="D208" s="28" t="s">
        <v>1353</v>
      </c>
      <c r="E208" s="36" t="s">
        <v>1148</v>
      </c>
      <c r="F208" s="36" t="s">
        <v>1149</v>
      </c>
      <c r="G208" s="30" t="s">
        <v>840</v>
      </c>
      <c r="H208" s="31"/>
      <c r="I208" s="32" t="s">
        <v>1016</v>
      </c>
      <c r="J208" s="32" t="b">
        <f t="shared" si="9"/>
        <v>0</v>
      </c>
      <c r="K208" s="31">
        <f t="shared" si="7"/>
        <v>0</v>
      </c>
      <c r="L208" s="33"/>
      <c r="M208" s="34"/>
    </row>
    <row r="209" spans="1:13" ht="34.5" customHeight="1" x14ac:dyDescent="0.25">
      <c r="A209" s="26" t="s">
        <v>292</v>
      </c>
      <c r="B209" s="106" t="s">
        <v>1117</v>
      </c>
      <c r="C209" s="27" t="s">
        <v>1380</v>
      </c>
      <c r="D209" s="28" t="s">
        <v>668</v>
      </c>
      <c r="E209" s="36"/>
      <c r="F209" s="36"/>
      <c r="G209" s="30" t="s">
        <v>840</v>
      </c>
      <c r="H209" s="31"/>
      <c r="I209" s="32" t="s">
        <v>1102</v>
      </c>
      <c r="J209" s="32" t="b">
        <f t="shared" si="9"/>
        <v>0</v>
      </c>
      <c r="K209" s="31">
        <f t="shared" si="7"/>
        <v>0</v>
      </c>
      <c r="L209" s="33"/>
      <c r="M209" s="34"/>
    </row>
    <row r="210" spans="1:13" ht="34.5" customHeight="1" x14ac:dyDescent="0.25">
      <c r="A210" s="26" t="s">
        <v>293</v>
      </c>
      <c r="B210" s="101" t="s">
        <v>1117</v>
      </c>
      <c r="C210" s="27" t="s">
        <v>1382</v>
      </c>
      <c r="D210" s="28" t="s">
        <v>668</v>
      </c>
      <c r="E210" s="36" t="s">
        <v>1150</v>
      </c>
      <c r="F210" s="36" t="s">
        <v>1118</v>
      </c>
      <c r="G210" s="30" t="s">
        <v>840</v>
      </c>
      <c r="H210" s="31"/>
      <c r="I210" s="32" t="s">
        <v>1016</v>
      </c>
      <c r="J210" s="32" t="b">
        <f t="shared" si="9"/>
        <v>0</v>
      </c>
      <c r="K210" s="31">
        <f t="shared" si="7"/>
        <v>0</v>
      </c>
      <c r="L210" s="33"/>
      <c r="M210" s="34"/>
    </row>
    <row r="211" spans="1:13" ht="34.5" customHeight="1" x14ac:dyDescent="0.25">
      <c r="A211" s="26" t="s">
        <v>295</v>
      </c>
      <c r="B211" s="104" t="s">
        <v>1151</v>
      </c>
      <c r="C211" s="27" t="s">
        <v>721</v>
      </c>
      <c r="D211" s="28" t="s">
        <v>1212</v>
      </c>
      <c r="E211" s="36" t="s">
        <v>1153</v>
      </c>
      <c r="F211" s="36" t="s">
        <v>1152</v>
      </c>
      <c r="G211" s="30" t="s">
        <v>1155</v>
      </c>
      <c r="H211" s="31">
        <v>100</v>
      </c>
      <c r="I211" s="32" t="s">
        <v>1016</v>
      </c>
      <c r="J211" s="32" t="b">
        <f t="shared" si="9"/>
        <v>0</v>
      </c>
      <c r="K211" s="31">
        <f t="shared" si="7"/>
        <v>0</v>
      </c>
      <c r="L211" s="33"/>
      <c r="M211" s="34"/>
    </row>
    <row r="212" spans="1:13" ht="34.5" customHeight="1" x14ac:dyDescent="0.25">
      <c r="A212" s="26" t="s">
        <v>296</v>
      </c>
      <c r="B212" s="101" t="s">
        <v>1151</v>
      </c>
      <c r="C212" s="27" t="s">
        <v>721</v>
      </c>
      <c r="D212" s="28" t="s">
        <v>1327</v>
      </c>
      <c r="E212" s="36" t="s">
        <v>1153</v>
      </c>
      <c r="F212" s="36" t="s">
        <v>1152</v>
      </c>
      <c r="G212" s="30" t="s">
        <v>1154</v>
      </c>
      <c r="H212" s="31">
        <v>100</v>
      </c>
      <c r="I212" s="32" t="s">
        <v>1016</v>
      </c>
      <c r="J212" s="32" t="b">
        <f t="shared" si="9"/>
        <v>0</v>
      </c>
      <c r="K212" s="31">
        <f t="shared" si="7"/>
        <v>0</v>
      </c>
      <c r="L212" s="33"/>
      <c r="M212" s="34"/>
    </row>
    <row r="213" spans="1:13" ht="34.5" customHeight="1" x14ac:dyDescent="0.25">
      <c r="A213" s="26" t="s">
        <v>299</v>
      </c>
      <c r="B213" s="104" t="s">
        <v>1158</v>
      </c>
      <c r="C213" s="27" t="s">
        <v>773</v>
      </c>
      <c r="D213" s="28" t="s">
        <v>1359</v>
      </c>
      <c r="E213" s="36" t="s">
        <v>1160</v>
      </c>
      <c r="F213" s="36" t="s">
        <v>1152</v>
      </c>
      <c r="G213" s="30" t="s">
        <v>1161</v>
      </c>
      <c r="H213" s="31">
        <v>100</v>
      </c>
      <c r="I213" s="32" t="s">
        <v>1016</v>
      </c>
      <c r="J213" s="32" t="b">
        <f t="shared" si="9"/>
        <v>0</v>
      </c>
      <c r="K213" s="31">
        <f t="shared" si="7"/>
        <v>0</v>
      </c>
      <c r="L213" s="33"/>
      <c r="M213" s="34"/>
    </row>
    <row r="214" spans="1:13" ht="34.5" customHeight="1" x14ac:dyDescent="0.25">
      <c r="A214" s="26" t="s">
        <v>300</v>
      </c>
      <c r="B214" s="101" t="s">
        <v>1158</v>
      </c>
      <c r="C214" s="27" t="s">
        <v>1159</v>
      </c>
      <c r="D214" s="28" t="s">
        <v>1327</v>
      </c>
      <c r="E214" s="36" t="s">
        <v>1160</v>
      </c>
      <c r="F214" s="36" t="s">
        <v>1152</v>
      </c>
      <c r="G214" s="30" t="s">
        <v>1162</v>
      </c>
      <c r="H214" s="31">
        <v>100</v>
      </c>
      <c r="I214" s="32" t="s">
        <v>1016</v>
      </c>
      <c r="J214" s="32" t="b">
        <f t="shared" si="9"/>
        <v>0</v>
      </c>
      <c r="K214" s="31">
        <f>J214*H214</f>
        <v>0</v>
      </c>
      <c r="L214" s="33"/>
      <c r="M214" s="34"/>
    </row>
    <row r="215" spans="1:13" ht="34.5" customHeight="1" x14ac:dyDescent="0.25">
      <c r="A215" s="26" t="s">
        <v>303</v>
      </c>
      <c r="B215" s="101" t="s">
        <v>1158</v>
      </c>
      <c r="C215" s="27" t="s">
        <v>957</v>
      </c>
      <c r="D215" s="28" t="s">
        <v>1059</v>
      </c>
      <c r="E215" s="36" t="s">
        <v>1160</v>
      </c>
      <c r="F215" s="36" t="s">
        <v>1152</v>
      </c>
      <c r="G215" s="30" t="s">
        <v>1165</v>
      </c>
      <c r="H215" s="31">
        <v>100</v>
      </c>
      <c r="I215" s="32" t="s">
        <v>1016</v>
      </c>
      <c r="J215" s="32" t="b">
        <f t="shared" si="9"/>
        <v>0</v>
      </c>
      <c r="K215" s="31">
        <f>J215*H215</f>
        <v>0</v>
      </c>
      <c r="L215" s="33"/>
      <c r="M215" s="34"/>
    </row>
    <row r="216" spans="1:13" ht="34.5" customHeight="1" x14ac:dyDescent="0.25">
      <c r="A216" s="26" t="s">
        <v>304</v>
      </c>
      <c r="B216" s="101" t="s">
        <v>1158</v>
      </c>
      <c r="C216" s="27" t="s">
        <v>957</v>
      </c>
      <c r="D216" s="28" t="s">
        <v>1059</v>
      </c>
      <c r="E216" s="36" t="s">
        <v>1160</v>
      </c>
      <c r="F216" s="36" t="s">
        <v>1152</v>
      </c>
      <c r="G216" s="30" t="s">
        <v>1166</v>
      </c>
      <c r="H216" s="31">
        <v>100</v>
      </c>
      <c r="I216" s="32" t="s">
        <v>1016</v>
      </c>
      <c r="J216" s="32" t="b">
        <f t="shared" si="9"/>
        <v>0</v>
      </c>
      <c r="K216" s="31">
        <f>J216*H216</f>
        <v>0</v>
      </c>
      <c r="L216" s="33"/>
      <c r="M216" s="34"/>
    </row>
    <row r="217" spans="1:13" ht="34.5" customHeight="1" x14ac:dyDescent="0.3">
      <c r="A217" s="26" t="s">
        <v>305</v>
      </c>
      <c r="B217" s="108" t="s">
        <v>1171</v>
      </c>
      <c r="C217" s="27" t="s">
        <v>1376</v>
      </c>
      <c r="D217" s="66" t="s">
        <v>774</v>
      </c>
      <c r="E217" s="36" t="s">
        <v>1172</v>
      </c>
      <c r="F217" s="36" t="s">
        <v>1173</v>
      </c>
      <c r="G217" s="30" t="s">
        <v>840</v>
      </c>
      <c r="H217" s="31">
        <v>1200</v>
      </c>
      <c r="I217" s="32" t="s">
        <v>1016</v>
      </c>
      <c r="J217" s="32" t="b">
        <f>IF(I220="b","0,6",IF(I220="r","0,2",IF(I220="o",0.8)))</f>
        <v>0</v>
      </c>
      <c r="K217" s="31">
        <f>J217*H220</f>
        <v>0</v>
      </c>
      <c r="L217" s="33"/>
      <c r="M217" s="34"/>
    </row>
    <row r="218" spans="1:13" ht="34.5" customHeight="1" x14ac:dyDescent="0.25">
      <c r="A218" s="26" t="s">
        <v>306</v>
      </c>
      <c r="B218" s="101" t="s">
        <v>1169</v>
      </c>
      <c r="C218" s="27" t="s">
        <v>1376</v>
      </c>
      <c r="D218" s="28" t="s">
        <v>1009</v>
      </c>
      <c r="E218" s="36" t="s">
        <v>1167</v>
      </c>
      <c r="F218" s="36" t="s">
        <v>1168</v>
      </c>
      <c r="G218" s="30" t="s">
        <v>1170</v>
      </c>
      <c r="H218" s="31"/>
      <c r="I218" s="32" t="s">
        <v>1016</v>
      </c>
      <c r="J218" s="32" t="b">
        <f t="shared" ref="J218:J268" si="10">IF(I218="b","0,6",IF(I218="r","0,2",IF(I218="o",0.8)))</f>
        <v>0</v>
      </c>
      <c r="K218" s="31">
        <f>J218*H218</f>
        <v>0</v>
      </c>
      <c r="L218" s="33"/>
      <c r="M218" s="34"/>
    </row>
    <row r="219" spans="1:13" ht="34.5" customHeight="1" x14ac:dyDescent="0.25">
      <c r="A219" s="26" t="s">
        <v>307</v>
      </c>
      <c r="B219" s="101" t="s">
        <v>1169</v>
      </c>
      <c r="C219" s="27" t="s">
        <v>1376</v>
      </c>
      <c r="D219" s="28" t="s">
        <v>1009</v>
      </c>
      <c r="E219" s="36" t="s">
        <v>1167</v>
      </c>
      <c r="F219" s="36" t="s">
        <v>1168</v>
      </c>
      <c r="G219" s="30" t="s">
        <v>1170</v>
      </c>
      <c r="H219" s="31"/>
      <c r="I219" s="32" t="s">
        <v>1016</v>
      </c>
      <c r="J219" s="32" t="b">
        <f t="shared" si="10"/>
        <v>0</v>
      </c>
      <c r="K219" s="31">
        <f>J219*H219</f>
        <v>0</v>
      </c>
      <c r="L219" s="33"/>
      <c r="M219" s="34"/>
    </row>
    <row r="220" spans="1:13" ht="34.5" customHeight="1" x14ac:dyDescent="0.25">
      <c r="A220" s="26" t="s">
        <v>308</v>
      </c>
      <c r="B220" s="104" t="s">
        <v>1169</v>
      </c>
      <c r="C220" s="27" t="s">
        <v>1376</v>
      </c>
      <c r="D220" s="28" t="s">
        <v>1009</v>
      </c>
      <c r="E220" s="36" t="s">
        <v>1167</v>
      </c>
      <c r="F220" s="36" t="s">
        <v>1168</v>
      </c>
      <c r="G220" s="30" t="s">
        <v>1170</v>
      </c>
      <c r="H220" s="31"/>
      <c r="I220" s="32" t="s">
        <v>1016</v>
      </c>
      <c r="J220" s="32" t="b">
        <f t="shared" si="10"/>
        <v>0</v>
      </c>
      <c r="K220" s="31" t="e">
        <f>J220*#REF!</f>
        <v>#REF!</v>
      </c>
      <c r="L220" s="33"/>
      <c r="M220" s="34"/>
    </row>
    <row r="221" spans="1:13" ht="34.5" customHeight="1" x14ac:dyDescent="0.25">
      <c r="A221" s="26" t="s">
        <v>310</v>
      </c>
      <c r="B221" s="101" t="s">
        <v>1177</v>
      </c>
      <c r="C221" s="27" t="s">
        <v>1380</v>
      </c>
      <c r="D221" s="28" t="s">
        <v>668</v>
      </c>
      <c r="E221" s="36" t="s">
        <v>1178</v>
      </c>
      <c r="F221" s="36" t="s">
        <v>1179</v>
      </c>
      <c r="G221" s="30" t="s">
        <v>840</v>
      </c>
      <c r="H221" s="31"/>
      <c r="I221" s="32" t="s">
        <v>1016</v>
      </c>
      <c r="J221" s="32" t="b">
        <f t="shared" si="10"/>
        <v>0</v>
      </c>
      <c r="K221" s="31">
        <f>J221*H221</f>
        <v>0</v>
      </c>
      <c r="L221" s="33"/>
      <c r="M221" s="34"/>
    </row>
    <row r="222" spans="1:13" ht="34.5" customHeight="1" x14ac:dyDescent="0.25">
      <c r="A222" s="26" t="s">
        <v>311</v>
      </c>
      <c r="B222" s="101" t="s">
        <v>1199</v>
      </c>
      <c r="C222" s="27" t="s">
        <v>1376</v>
      </c>
      <c r="D222" s="28" t="s">
        <v>774</v>
      </c>
      <c r="E222" s="36"/>
      <c r="F222" s="36" t="s">
        <v>1200</v>
      </c>
      <c r="G222" s="30" t="s">
        <v>840</v>
      </c>
      <c r="H222" s="31"/>
      <c r="I222" s="67" t="s">
        <v>1102</v>
      </c>
      <c r="J222" s="32" t="b">
        <f t="shared" si="10"/>
        <v>0</v>
      </c>
      <c r="K222" s="31">
        <f>J222*H223</f>
        <v>0</v>
      </c>
      <c r="L222" s="33"/>
      <c r="M222" s="34"/>
    </row>
    <row r="223" spans="1:13" ht="34.5" customHeight="1" x14ac:dyDescent="0.25">
      <c r="A223" s="26" t="s">
        <v>312</v>
      </c>
      <c r="B223" s="101" t="s">
        <v>708</v>
      </c>
      <c r="C223" s="27" t="s">
        <v>1380</v>
      </c>
      <c r="D223" s="28" t="s">
        <v>1244</v>
      </c>
      <c r="E223" s="36" t="s">
        <v>1180</v>
      </c>
      <c r="F223" s="36" t="s">
        <v>654</v>
      </c>
      <c r="G223" s="30" t="s">
        <v>840</v>
      </c>
      <c r="H223" s="31"/>
      <c r="I223" s="32" t="s">
        <v>1102</v>
      </c>
      <c r="J223" s="32" t="b">
        <f t="shared" si="10"/>
        <v>0</v>
      </c>
      <c r="K223" s="31" t="e">
        <f>J223*#REF!</f>
        <v>#REF!</v>
      </c>
      <c r="L223" s="33"/>
      <c r="M223" s="34"/>
    </row>
    <row r="224" spans="1:13" ht="34.5" customHeight="1" x14ac:dyDescent="0.25">
      <c r="A224" s="26" t="s">
        <v>313</v>
      </c>
      <c r="B224" s="101" t="s">
        <v>636</v>
      </c>
      <c r="C224" s="27" t="s">
        <v>1380</v>
      </c>
      <c r="D224" s="28" t="s">
        <v>668</v>
      </c>
      <c r="E224" s="36" t="s">
        <v>1181</v>
      </c>
      <c r="F224" s="36" t="s">
        <v>698</v>
      </c>
      <c r="G224" s="30" t="s">
        <v>840</v>
      </c>
      <c r="H224" s="31"/>
      <c r="I224" s="32" t="s">
        <v>1102</v>
      </c>
      <c r="J224" s="32" t="b">
        <f t="shared" si="10"/>
        <v>0</v>
      </c>
      <c r="K224" s="31">
        <f t="shared" ref="K224:K275" si="11">J224*H224</f>
        <v>0</v>
      </c>
      <c r="L224" s="33"/>
      <c r="M224" s="34"/>
    </row>
    <row r="225" spans="1:13" ht="34.5" customHeight="1" x14ac:dyDescent="0.25">
      <c r="A225" s="26" t="s">
        <v>314</v>
      </c>
      <c r="B225" s="101" t="s">
        <v>1182</v>
      </c>
      <c r="C225" s="27" t="s">
        <v>1380</v>
      </c>
      <c r="D225" s="28" t="s">
        <v>668</v>
      </c>
      <c r="E225" s="36" t="s">
        <v>1183</v>
      </c>
      <c r="F225" s="36" t="s">
        <v>703</v>
      </c>
      <c r="G225" s="30" t="s">
        <v>1184</v>
      </c>
      <c r="H225" s="31"/>
      <c r="I225" s="32" t="s">
        <v>1016</v>
      </c>
      <c r="J225" s="32" t="b">
        <f t="shared" si="10"/>
        <v>0</v>
      </c>
      <c r="K225" s="31">
        <f t="shared" si="11"/>
        <v>0</v>
      </c>
      <c r="L225" s="33"/>
      <c r="M225" s="34"/>
    </row>
    <row r="226" spans="1:13" ht="34.5" customHeight="1" x14ac:dyDescent="0.25">
      <c r="A226" s="26" t="s">
        <v>315</v>
      </c>
      <c r="B226" s="101" t="s">
        <v>1185</v>
      </c>
      <c r="C226" s="27" t="s">
        <v>990</v>
      </c>
      <c r="D226" s="28" t="s">
        <v>668</v>
      </c>
      <c r="E226" s="36"/>
      <c r="F226" s="36" t="s">
        <v>1186</v>
      </c>
      <c r="G226" s="30" t="s">
        <v>840</v>
      </c>
      <c r="H226" s="31"/>
      <c r="I226" s="32" t="s">
        <v>1102</v>
      </c>
      <c r="J226" s="32" t="b">
        <f t="shared" si="10"/>
        <v>0</v>
      </c>
      <c r="K226" s="31">
        <f t="shared" si="11"/>
        <v>0</v>
      </c>
      <c r="L226" s="33"/>
      <c r="M226" s="34"/>
    </row>
    <row r="227" spans="1:13" ht="34.5" customHeight="1" x14ac:dyDescent="0.25">
      <c r="A227" s="26" t="s">
        <v>316</v>
      </c>
      <c r="B227" s="101" t="s">
        <v>1187</v>
      </c>
      <c r="C227" s="27" t="s">
        <v>721</v>
      </c>
      <c r="D227" s="28" t="s">
        <v>1327</v>
      </c>
      <c r="E227" s="36">
        <v>201006227</v>
      </c>
      <c r="F227" s="36" t="s">
        <v>680</v>
      </c>
      <c r="G227" s="30" t="s">
        <v>840</v>
      </c>
      <c r="H227" s="31"/>
      <c r="I227" s="32" t="s">
        <v>1016</v>
      </c>
      <c r="J227" s="32" t="b">
        <f t="shared" si="10"/>
        <v>0</v>
      </c>
      <c r="K227" s="31">
        <f t="shared" si="11"/>
        <v>0</v>
      </c>
      <c r="L227" s="33"/>
      <c r="M227" s="34"/>
    </row>
    <row r="228" spans="1:13" ht="34.5" customHeight="1" x14ac:dyDescent="0.25">
      <c r="A228" s="26" t="s">
        <v>317</v>
      </c>
      <c r="B228" s="101" t="s">
        <v>701</v>
      </c>
      <c r="C228" s="27" t="s">
        <v>631</v>
      </c>
      <c r="D228" s="28" t="s">
        <v>1299</v>
      </c>
      <c r="E228" s="36"/>
      <c r="F228" s="36" t="s">
        <v>679</v>
      </c>
      <c r="G228" s="30" t="s">
        <v>840</v>
      </c>
      <c r="H228" s="31"/>
      <c r="I228" s="32" t="s">
        <v>1102</v>
      </c>
      <c r="J228" s="32" t="b">
        <f t="shared" si="10"/>
        <v>0</v>
      </c>
      <c r="K228" s="31">
        <f t="shared" si="11"/>
        <v>0</v>
      </c>
      <c r="L228" s="33"/>
      <c r="M228" s="34"/>
    </row>
    <row r="229" spans="1:13" ht="34.5" customHeight="1" x14ac:dyDescent="0.25">
      <c r="A229" s="26" t="s">
        <v>318</v>
      </c>
      <c r="B229" s="101" t="s">
        <v>1182</v>
      </c>
      <c r="C229" s="27" t="s">
        <v>1380</v>
      </c>
      <c r="D229" s="28" t="s">
        <v>1299</v>
      </c>
      <c r="E229" s="36"/>
      <c r="F229" s="36" t="s">
        <v>703</v>
      </c>
      <c r="G229" s="30" t="s">
        <v>840</v>
      </c>
      <c r="H229" s="31"/>
      <c r="I229" s="32" t="s">
        <v>1016</v>
      </c>
      <c r="J229" s="32" t="b">
        <f t="shared" si="10"/>
        <v>0</v>
      </c>
      <c r="K229" s="31">
        <f t="shared" si="11"/>
        <v>0</v>
      </c>
      <c r="L229" s="33"/>
      <c r="M229" s="34"/>
    </row>
    <row r="230" spans="1:13" ht="34.5" customHeight="1" x14ac:dyDescent="0.25">
      <c r="A230" s="26" t="s">
        <v>319</v>
      </c>
      <c r="B230" s="101" t="s">
        <v>968</v>
      </c>
      <c r="C230" s="27" t="s">
        <v>1410</v>
      </c>
      <c r="D230" s="28" t="s">
        <v>1299</v>
      </c>
      <c r="E230" s="36" t="s">
        <v>1188</v>
      </c>
      <c r="F230" s="36" t="s">
        <v>1189</v>
      </c>
      <c r="G230" s="30" t="s">
        <v>840</v>
      </c>
      <c r="H230" s="31"/>
      <c r="I230" s="32" t="s">
        <v>1016</v>
      </c>
      <c r="J230" s="32" t="b">
        <f t="shared" si="10"/>
        <v>0</v>
      </c>
      <c r="K230" s="31">
        <f t="shared" si="11"/>
        <v>0</v>
      </c>
      <c r="L230" s="33"/>
      <c r="M230" s="34"/>
    </row>
    <row r="231" spans="1:13" ht="34.5" customHeight="1" x14ac:dyDescent="0.25">
      <c r="A231" s="26" t="s">
        <v>320</v>
      </c>
      <c r="B231" s="101" t="s">
        <v>1190</v>
      </c>
      <c r="C231" s="27" t="s">
        <v>1410</v>
      </c>
      <c r="D231" s="28" t="s">
        <v>1299</v>
      </c>
      <c r="E231" s="36" t="s">
        <v>1191</v>
      </c>
      <c r="F231" s="36" t="s">
        <v>688</v>
      </c>
      <c r="G231" s="30" t="s">
        <v>840</v>
      </c>
      <c r="H231" s="31">
        <v>1200</v>
      </c>
      <c r="I231" s="32" t="s">
        <v>1016</v>
      </c>
      <c r="J231" s="32" t="b">
        <f t="shared" si="10"/>
        <v>0</v>
      </c>
      <c r="K231" s="31">
        <f t="shared" si="11"/>
        <v>0</v>
      </c>
      <c r="L231" s="33"/>
      <c r="M231" s="34"/>
    </row>
    <row r="232" spans="1:13" ht="34.5" customHeight="1" x14ac:dyDescent="0.25">
      <c r="A232" s="26" t="s">
        <v>321</v>
      </c>
      <c r="B232" s="101" t="s">
        <v>751</v>
      </c>
      <c r="C232" s="27" t="s">
        <v>1380</v>
      </c>
      <c r="D232" s="28" t="s">
        <v>1321</v>
      </c>
      <c r="E232" s="36"/>
      <c r="F232" s="36" t="s">
        <v>703</v>
      </c>
      <c r="G232" s="30" t="s">
        <v>1192</v>
      </c>
      <c r="H232" s="31"/>
      <c r="I232" s="32" t="s">
        <v>1102</v>
      </c>
      <c r="J232" s="32" t="b">
        <f t="shared" si="10"/>
        <v>0</v>
      </c>
      <c r="K232" s="31">
        <f t="shared" si="11"/>
        <v>0</v>
      </c>
      <c r="L232" s="33"/>
      <c r="M232" s="34"/>
    </row>
    <row r="233" spans="1:13" ht="34.5" customHeight="1" x14ac:dyDescent="0.25">
      <c r="A233" s="26" t="s">
        <v>322</v>
      </c>
      <c r="B233" s="101" t="s">
        <v>701</v>
      </c>
      <c r="C233" s="27" t="s">
        <v>1296</v>
      </c>
      <c r="D233" s="28" t="s">
        <v>1299</v>
      </c>
      <c r="E233" s="36"/>
      <c r="F233" s="36" t="s">
        <v>679</v>
      </c>
      <c r="G233" s="30" t="s">
        <v>840</v>
      </c>
      <c r="H233" s="31"/>
      <c r="I233" s="32" t="s">
        <v>1102</v>
      </c>
      <c r="J233" s="32" t="b">
        <f t="shared" si="10"/>
        <v>0</v>
      </c>
      <c r="K233" s="31">
        <f t="shared" si="11"/>
        <v>0</v>
      </c>
      <c r="L233" s="33"/>
      <c r="M233" s="34"/>
    </row>
    <row r="234" spans="1:13" ht="34.5" customHeight="1" x14ac:dyDescent="0.25">
      <c r="A234" s="26" t="s">
        <v>323</v>
      </c>
      <c r="B234" s="101" t="s">
        <v>1193</v>
      </c>
      <c r="C234" s="27" t="s">
        <v>1376</v>
      </c>
      <c r="D234" s="28" t="s">
        <v>774</v>
      </c>
      <c r="E234" s="36" t="s">
        <v>1194</v>
      </c>
      <c r="F234" s="36" t="s">
        <v>1195</v>
      </c>
      <c r="G234" s="30" t="s">
        <v>840</v>
      </c>
      <c r="H234" s="31"/>
      <c r="I234" s="32" t="s">
        <v>1016</v>
      </c>
      <c r="J234" s="32" t="b">
        <f t="shared" si="10"/>
        <v>0</v>
      </c>
      <c r="K234" s="31">
        <f t="shared" si="11"/>
        <v>0</v>
      </c>
      <c r="L234" s="33"/>
      <c r="M234" s="34"/>
    </row>
    <row r="235" spans="1:13" ht="34.5" customHeight="1" x14ac:dyDescent="0.25">
      <c r="A235" s="26" t="s">
        <v>325</v>
      </c>
      <c r="B235" s="101" t="s">
        <v>1201</v>
      </c>
      <c r="C235" s="27" t="s">
        <v>1376</v>
      </c>
      <c r="D235" s="28" t="s">
        <v>774</v>
      </c>
      <c r="E235" s="36" t="s">
        <v>1202</v>
      </c>
      <c r="F235" s="36" t="s">
        <v>1203</v>
      </c>
      <c r="G235" s="30" t="s">
        <v>840</v>
      </c>
      <c r="H235" s="31"/>
      <c r="I235" s="32" t="s">
        <v>1102</v>
      </c>
      <c r="J235" s="32" t="b">
        <f t="shared" si="10"/>
        <v>0</v>
      </c>
      <c r="K235" s="31">
        <f t="shared" si="11"/>
        <v>0</v>
      </c>
      <c r="L235" s="33"/>
      <c r="M235" s="34"/>
    </row>
    <row r="236" spans="1:13" ht="34.5" customHeight="1" x14ac:dyDescent="0.25">
      <c r="A236" s="26" t="s">
        <v>326</v>
      </c>
      <c r="B236" s="101" t="s">
        <v>711</v>
      </c>
      <c r="C236" s="27" t="s">
        <v>1376</v>
      </c>
      <c r="D236" s="28" t="s">
        <v>774</v>
      </c>
      <c r="E236" s="36" t="s">
        <v>1204</v>
      </c>
      <c r="F236" s="36" t="s">
        <v>960</v>
      </c>
      <c r="G236" s="30" t="s">
        <v>840</v>
      </c>
      <c r="H236" s="31"/>
      <c r="I236" s="32" t="s">
        <v>1102</v>
      </c>
      <c r="J236" s="32" t="b">
        <f t="shared" si="10"/>
        <v>0</v>
      </c>
      <c r="K236" s="31">
        <f t="shared" si="11"/>
        <v>0</v>
      </c>
      <c r="L236" s="33"/>
      <c r="M236" s="34"/>
    </row>
    <row r="237" spans="1:13" ht="34.5" customHeight="1" x14ac:dyDescent="0.25">
      <c r="A237" s="26" t="s">
        <v>328</v>
      </c>
      <c r="B237" s="101" t="s">
        <v>1207</v>
      </c>
      <c r="C237" s="27" t="s">
        <v>957</v>
      </c>
      <c r="D237" s="28" t="s">
        <v>774</v>
      </c>
      <c r="E237" s="36" t="s">
        <v>1208</v>
      </c>
      <c r="F237" s="36" t="s">
        <v>1209</v>
      </c>
      <c r="G237" s="30" t="s">
        <v>840</v>
      </c>
      <c r="H237" s="31"/>
      <c r="I237" s="32" t="s">
        <v>1102</v>
      </c>
      <c r="J237" s="32" t="b">
        <f t="shared" si="10"/>
        <v>0</v>
      </c>
      <c r="K237" s="31">
        <f t="shared" si="11"/>
        <v>0</v>
      </c>
      <c r="L237" s="33"/>
      <c r="M237" s="34"/>
    </row>
    <row r="238" spans="1:13" ht="34.5" customHeight="1" x14ac:dyDescent="0.25">
      <c r="A238" s="26" t="s">
        <v>329</v>
      </c>
      <c r="B238" s="101" t="s">
        <v>647</v>
      </c>
      <c r="C238" s="27" t="s">
        <v>1376</v>
      </c>
      <c r="D238" s="28" t="s">
        <v>774</v>
      </c>
      <c r="E238" s="36"/>
      <c r="F238" s="36"/>
      <c r="G238" s="30" t="s">
        <v>840</v>
      </c>
      <c r="H238" s="31"/>
      <c r="I238" s="32" t="s">
        <v>1102</v>
      </c>
      <c r="J238" s="32" t="b">
        <f t="shared" si="10"/>
        <v>0</v>
      </c>
      <c r="K238" s="31">
        <f t="shared" si="11"/>
        <v>0</v>
      </c>
      <c r="L238" s="33"/>
      <c r="M238" s="34"/>
    </row>
    <row r="239" spans="1:13" ht="34.5" customHeight="1" x14ac:dyDescent="0.25">
      <c r="A239" s="26" t="s">
        <v>330</v>
      </c>
      <c r="B239" s="101" t="s">
        <v>1187</v>
      </c>
      <c r="C239" s="27" t="s">
        <v>1376</v>
      </c>
      <c r="D239" s="28" t="s">
        <v>774</v>
      </c>
      <c r="E239" s="36"/>
      <c r="F239" s="36"/>
      <c r="G239" s="30" t="s">
        <v>840</v>
      </c>
      <c r="H239" s="31"/>
      <c r="I239" s="32" t="s">
        <v>1102</v>
      </c>
      <c r="J239" s="32" t="b">
        <f t="shared" si="10"/>
        <v>0</v>
      </c>
      <c r="K239" s="31">
        <f t="shared" si="11"/>
        <v>0</v>
      </c>
      <c r="L239" s="33"/>
      <c r="M239" s="34"/>
    </row>
    <row r="240" spans="1:13" ht="34.5" customHeight="1" x14ac:dyDescent="0.25">
      <c r="A240" s="26" t="s">
        <v>331</v>
      </c>
      <c r="B240" s="101" t="s">
        <v>1213</v>
      </c>
      <c r="C240" s="27" t="s">
        <v>721</v>
      </c>
      <c r="D240" s="28" t="s">
        <v>1327</v>
      </c>
      <c r="E240" s="36"/>
      <c r="F240" s="36" t="s">
        <v>1214</v>
      </c>
      <c r="G240" s="30" t="s">
        <v>840</v>
      </c>
      <c r="H240" s="31"/>
      <c r="I240" s="32" t="s">
        <v>1016</v>
      </c>
      <c r="J240" s="32" t="b">
        <f t="shared" si="10"/>
        <v>0</v>
      </c>
      <c r="K240" s="31">
        <f t="shared" si="11"/>
        <v>0</v>
      </c>
      <c r="L240" s="33"/>
      <c r="M240" s="34"/>
    </row>
    <row r="241" spans="1:13" ht="34.5" customHeight="1" x14ac:dyDescent="0.25">
      <c r="A241" s="26" t="s">
        <v>332</v>
      </c>
      <c r="B241" s="101" t="s">
        <v>1210</v>
      </c>
      <c r="C241" s="27" t="s">
        <v>736</v>
      </c>
      <c r="D241" s="28" t="s">
        <v>1327</v>
      </c>
      <c r="E241" s="36"/>
      <c r="F241" s="36" t="s">
        <v>1211</v>
      </c>
      <c r="G241" s="30" t="s">
        <v>840</v>
      </c>
      <c r="H241" s="31">
        <v>370</v>
      </c>
      <c r="I241" s="32" t="s">
        <v>1016</v>
      </c>
      <c r="J241" s="32" t="b">
        <f t="shared" si="10"/>
        <v>0</v>
      </c>
      <c r="K241" s="31">
        <f t="shared" si="11"/>
        <v>0</v>
      </c>
      <c r="L241" s="33"/>
      <c r="M241" s="34"/>
    </row>
    <row r="242" spans="1:13" ht="34.5" customHeight="1" x14ac:dyDescent="0.25">
      <c r="A242" s="26" t="s">
        <v>333</v>
      </c>
      <c r="B242" s="101" t="s">
        <v>675</v>
      </c>
      <c r="C242" s="27" t="s">
        <v>906</v>
      </c>
      <c r="D242" s="28" t="s">
        <v>1327</v>
      </c>
      <c r="E242" s="36"/>
      <c r="F242" s="36" t="s">
        <v>688</v>
      </c>
      <c r="G242" s="30" t="s">
        <v>840</v>
      </c>
      <c r="H242" s="31"/>
      <c r="I242" s="32" t="s">
        <v>1016</v>
      </c>
      <c r="J242" s="32" t="b">
        <f t="shared" si="10"/>
        <v>0</v>
      </c>
      <c r="K242" s="31">
        <f t="shared" si="11"/>
        <v>0</v>
      </c>
      <c r="L242" s="33"/>
      <c r="M242" s="34"/>
    </row>
    <row r="243" spans="1:13" ht="34.5" customHeight="1" x14ac:dyDescent="0.25">
      <c r="A243" s="26" t="s">
        <v>334</v>
      </c>
      <c r="B243" s="109" t="s">
        <v>711</v>
      </c>
      <c r="C243" s="27" t="s">
        <v>906</v>
      </c>
      <c r="D243" s="28" t="s">
        <v>1327</v>
      </c>
      <c r="E243" s="36"/>
      <c r="F243" s="36" t="s">
        <v>688</v>
      </c>
      <c r="G243" s="30" t="s">
        <v>840</v>
      </c>
      <c r="H243" s="31"/>
      <c r="I243" s="32" t="s">
        <v>1016</v>
      </c>
      <c r="J243" s="32" t="b">
        <f t="shared" si="10"/>
        <v>0</v>
      </c>
      <c r="K243" s="31">
        <f t="shared" si="11"/>
        <v>0</v>
      </c>
      <c r="L243" s="33"/>
      <c r="M243" s="34"/>
    </row>
    <row r="244" spans="1:13" ht="34.5" customHeight="1" x14ac:dyDescent="0.25">
      <c r="A244" s="26" t="s">
        <v>335</v>
      </c>
      <c r="B244" s="101" t="s">
        <v>1210</v>
      </c>
      <c r="C244" s="27" t="s">
        <v>830</v>
      </c>
      <c r="D244" s="28" t="s">
        <v>1327</v>
      </c>
      <c r="E244" s="36"/>
      <c r="F244" s="36" t="s">
        <v>1211</v>
      </c>
      <c r="G244" s="30" t="s">
        <v>840</v>
      </c>
      <c r="H244" s="31">
        <v>370</v>
      </c>
      <c r="I244" s="32" t="s">
        <v>1016</v>
      </c>
      <c r="J244" s="32" t="b">
        <f t="shared" si="10"/>
        <v>0</v>
      </c>
      <c r="K244" s="31">
        <f t="shared" si="11"/>
        <v>0</v>
      </c>
      <c r="L244" s="33"/>
      <c r="M244" s="34"/>
    </row>
    <row r="245" spans="1:13" ht="34.5" customHeight="1" x14ac:dyDescent="0.25">
      <c r="A245" s="26" t="s">
        <v>338</v>
      </c>
      <c r="B245" s="106" t="s">
        <v>1042</v>
      </c>
      <c r="C245" s="27" t="s">
        <v>1380</v>
      </c>
      <c r="D245" s="28" t="s">
        <v>668</v>
      </c>
      <c r="E245" s="36" t="s">
        <v>1048</v>
      </c>
      <c r="F245" s="36" t="s">
        <v>1018</v>
      </c>
      <c r="G245" s="30" t="s">
        <v>840</v>
      </c>
      <c r="H245" s="31"/>
      <c r="I245" s="32" t="s">
        <v>1102</v>
      </c>
      <c r="J245" s="32" t="b">
        <f t="shared" si="10"/>
        <v>0</v>
      </c>
      <c r="K245" s="31">
        <f t="shared" si="11"/>
        <v>0</v>
      </c>
      <c r="L245" s="33"/>
      <c r="M245" s="34"/>
    </row>
    <row r="246" spans="1:13" ht="34.5" customHeight="1" x14ac:dyDescent="0.25">
      <c r="A246" s="26" t="s">
        <v>339</v>
      </c>
      <c r="B246" s="101" t="s">
        <v>663</v>
      </c>
      <c r="C246" s="27" t="s">
        <v>1411</v>
      </c>
      <c r="D246" s="28" t="s">
        <v>1299</v>
      </c>
      <c r="E246" s="36" t="s">
        <v>839</v>
      </c>
      <c r="F246" s="36" t="s">
        <v>664</v>
      </c>
      <c r="G246" s="30" t="s">
        <v>840</v>
      </c>
      <c r="H246" s="31">
        <v>180</v>
      </c>
      <c r="I246" s="32" t="s">
        <v>1016</v>
      </c>
      <c r="J246" s="32" t="b">
        <f t="shared" si="10"/>
        <v>0</v>
      </c>
      <c r="K246" s="31">
        <f t="shared" si="11"/>
        <v>0</v>
      </c>
      <c r="L246" s="33"/>
      <c r="M246" s="34"/>
    </row>
    <row r="247" spans="1:13" ht="34.5" customHeight="1" x14ac:dyDescent="0.25">
      <c r="A247" s="26" t="s">
        <v>340</v>
      </c>
      <c r="B247" s="101" t="s">
        <v>663</v>
      </c>
      <c r="C247" s="27" t="s">
        <v>631</v>
      </c>
      <c r="D247" s="28" t="s">
        <v>1005</v>
      </c>
      <c r="E247" s="36" t="s">
        <v>839</v>
      </c>
      <c r="F247" s="36" t="s">
        <v>664</v>
      </c>
      <c r="G247" s="30" t="s">
        <v>840</v>
      </c>
      <c r="H247" s="31">
        <v>180</v>
      </c>
      <c r="I247" s="32" t="s">
        <v>1016</v>
      </c>
      <c r="J247" s="32" t="b">
        <f t="shared" si="10"/>
        <v>0</v>
      </c>
      <c r="K247" s="31">
        <f t="shared" si="11"/>
        <v>0</v>
      </c>
      <c r="L247" s="33"/>
      <c r="M247" s="34"/>
    </row>
    <row r="248" spans="1:13" ht="34.5" customHeight="1" x14ac:dyDescent="0.25">
      <c r="A248" s="26" t="s">
        <v>341</v>
      </c>
      <c r="B248" s="101" t="s">
        <v>1117</v>
      </c>
      <c r="C248" s="27" t="s">
        <v>1380</v>
      </c>
      <c r="D248" s="28" t="s">
        <v>668</v>
      </c>
      <c r="E248" s="36" t="s">
        <v>1218</v>
      </c>
      <c r="F248" s="36" t="s">
        <v>871</v>
      </c>
      <c r="G248" s="30" t="s">
        <v>840</v>
      </c>
      <c r="H248" s="31"/>
      <c r="I248" s="32" t="s">
        <v>1064</v>
      </c>
      <c r="J248" s="32" t="b">
        <f t="shared" si="10"/>
        <v>0</v>
      </c>
      <c r="K248" s="31">
        <f t="shared" si="11"/>
        <v>0</v>
      </c>
      <c r="L248" s="33"/>
      <c r="M248" s="34"/>
    </row>
    <row r="249" spans="1:13" ht="34.5" customHeight="1" x14ac:dyDescent="0.25">
      <c r="A249" s="26" t="s">
        <v>342</v>
      </c>
      <c r="B249" s="106" t="s">
        <v>1117</v>
      </c>
      <c r="C249" s="27" t="s">
        <v>1380</v>
      </c>
      <c r="D249" s="28" t="s">
        <v>668</v>
      </c>
      <c r="E249" s="36" t="s">
        <v>1218</v>
      </c>
      <c r="F249" s="36" t="s">
        <v>871</v>
      </c>
      <c r="G249" s="30" t="s">
        <v>840</v>
      </c>
      <c r="H249" s="31"/>
      <c r="I249" s="32" t="s">
        <v>1064</v>
      </c>
      <c r="J249" s="32" t="b">
        <f t="shared" si="10"/>
        <v>0</v>
      </c>
      <c r="K249" s="31">
        <f t="shared" si="11"/>
        <v>0</v>
      </c>
      <c r="L249" s="33"/>
      <c r="M249" s="34"/>
    </row>
    <row r="250" spans="1:13" ht="34.5" customHeight="1" x14ac:dyDescent="0.25">
      <c r="A250" s="26" t="s">
        <v>343</v>
      </c>
      <c r="B250" s="106" t="s">
        <v>1117</v>
      </c>
      <c r="C250" s="27" t="s">
        <v>1380</v>
      </c>
      <c r="D250" s="28" t="s">
        <v>668</v>
      </c>
      <c r="E250" s="36" t="s">
        <v>1219</v>
      </c>
      <c r="F250" s="36" t="s">
        <v>871</v>
      </c>
      <c r="G250" s="30" t="s">
        <v>840</v>
      </c>
      <c r="H250" s="31"/>
      <c r="I250" s="32" t="s">
        <v>1064</v>
      </c>
      <c r="J250" s="32" t="b">
        <f t="shared" si="10"/>
        <v>0</v>
      </c>
      <c r="K250" s="31">
        <f t="shared" si="11"/>
        <v>0</v>
      </c>
      <c r="L250" s="33"/>
      <c r="M250" s="34"/>
    </row>
    <row r="251" spans="1:13" ht="34.5" customHeight="1" x14ac:dyDescent="0.25">
      <c r="A251" s="26" t="s">
        <v>344</v>
      </c>
      <c r="B251" s="101" t="s">
        <v>1117</v>
      </c>
      <c r="C251" s="27" t="s">
        <v>1380</v>
      </c>
      <c r="D251" s="28" t="s">
        <v>668</v>
      </c>
      <c r="E251" s="36" t="s">
        <v>1219</v>
      </c>
      <c r="F251" s="36" t="s">
        <v>871</v>
      </c>
      <c r="G251" s="30" t="s">
        <v>840</v>
      </c>
      <c r="H251" s="31"/>
      <c r="I251" s="32" t="s">
        <v>1064</v>
      </c>
      <c r="J251" s="32" t="b">
        <f t="shared" si="10"/>
        <v>0</v>
      </c>
      <c r="K251" s="31">
        <f t="shared" si="11"/>
        <v>0</v>
      </c>
      <c r="L251" s="33"/>
      <c r="M251" s="34"/>
    </row>
    <row r="252" spans="1:13" ht="34.5" customHeight="1" x14ac:dyDescent="0.25">
      <c r="A252" s="26" t="s">
        <v>345</v>
      </c>
      <c r="B252" s="106" t="s">
        <v>1117</v>
      </c>
      <c r="C252" s="27" t="s">
        <v>1380</v>
      </c>
      <c r="D252" s="28" t="s">
        <v>668</v>
      </c>
      <c r="E252" s="36" t="s">
        <v>1218</v>
      </c>
      <c r="F252" s="36" t="s">
        <v>871</v>
      </c>
      <c r="G252" s="30" t="s">
        <v>840</v>
      </c>
      <c r="H252" s="31"/>
      <c r="I252" s="32" t="s">
        <v>1064</v>
      </c>
      <c r="J252" s="32" t="b">
        <f t="shared" si="10"/>
        <v>0</v>
      </c>
      <c r="K252" s="31">
        <f t="shared" si="11"/>
        <v>0</v>
      </c>
      <c r="L252" s="33"/>
      <c r="M252" s="34"/>
    </row>
    <row r="253" spans="1:13" ht="34.5" customHeight="1" x14ac:dyDescent="0.25">
      <c r="A253" s="26" t="s">
        <v>346</v>
      </c>
      <c r="B253" s="101" t="s">
        <v>1117</v>
      </c>
      <c r="C253" s="27" t="s">
        <v>1380</v>
      </c>
      <c r="D253" s="28" t="s">
        <v>668</v>
      </c>
      <c r="E253" s="36" t="s">
        <v>1220</v>
      </c>
      <c r="F253" s="36" t="s">
        <v>786</v>
      </c>
      <c r="G253" s="30" t="s">
        <v>840</v>
      </c>
      <c r="H253" s="31"/>
      <c r="I253" s="32" t="s">
        <v>1064</v>
      </c>
      <c r="J253" s="32" t="b">
        <f t="shared" si="10"/>
        <v>0</v>
      </c>
      <c r="K253" s="31">
        <f t="shared" si="11"/>
        <v>0</v>
      </c>
      <c r="L253" s="33"/>
      <c r="M253" s="34"/>
    </row>
    <row r="254" spans="1:13" ht="34.5" customHeight="1" x14ac:dyDescent="0.25">
      <c r="A254" s="26" t="s">
        <v>347</v>
      </c>
      <c r="B254" s="106" t="s">
        <v>1221</v>
      </c>
      <c r="C254" s="27" t="s">
        <v>1380</v>
      </c>
      <c r="D254" s="28" t="s">
        <v>668</v>
      </c>
      <c r="E254" s="36" t="s">
        <v>1222</v>
      </c>
      <c r="F254" s="36" t="s">
        <v>871</v>
      </c>
      <c r="G254" s="30" t="s">
        <v>840</v>
      </c>
      <c r="H254" s="31"/>
      <c r="I254" s="32" t="s">
        <v>1064</v>
      </c>
      <c r="J254" s="32" t="b">
        <f t="shared" si="10"/>
        <v>0</v>
      </c>
      <c r="K254" s="31">
        <f t="shared" si="11"/>
        <v>0</v>
      </c>
      <c r="L254" s="33"/>
      <c r="M254" s="34"/>
    </row>
    <row r="255" spans="1:13" ht="34.5" customHeight="1" x14ac:dyDescent="0.25">
      <c r="A255" s="26" t="s">
        <v>348</v>
      </c>
      <c r="B255" s="101" t="s">
        <v>1221</v>
      </c>
      <c r="C255" s="27" t="s">
        <v>1380</v>
      </c>
      <c r="D255" s="28" t="s">
        <v>668</v>
      </c>
      <c r="E255" s="36" t="s">
        <v>1220</v>
      </c>
      <c r="F255" s="36" t="s">
        <v>786</v>
      </c>
      <c r="G255" s="30" t="s">
        <v>840</v>
      </c>
      <c r="H255" s="31"/>
      <c r="I255" s="32" t="s">
        <v>1064</v>
      </c>
      <c r="J255" s="32" t="b">
        <f t="shared" si="10"/>
        <v>0</v>
      </c>
      <c r="K255" s="31">
        <f t="shared" si="11"/>
        <v>0</v>
      </c>
      <c r="L255" s="33"/>
      <c r="M255" s="34"/>
    </row>
    <row r="256" spans="1:13" ht="34.5" customHeight="1" x14ac:dyDescent="0.25">
      <c r="A256" s="26" t="s">
        <v>349</v>
      </c>
      <c r="B256" s="104" t="s">
        <v>1223</v>
      </c>
      <c r="C256" s="27" t="s">
        <v>1313</v>
      </c>
      <c r="D256" s="28" t="s">
        <v>774</v>
      </c>
      <c r="E256" s="36" t="s">
        <v>1224</v>
      </c>
      <c r="F256" s="36" t="s">
        <v>1225</v>
      </c>
      <c r="G256" s="30" t="s">
        <v>840</v>
      </c>
      <c r="H256" s="31"/>
      <c r="I256" s="32" t="s">
        <v>1016</v>
      </c>
      <c r="J256" s="32" t="b">
        <f t="shared" si="10"/>
        <v>0</v>
      </c>
      <c r="K256" s="31">
        <f t="shared" si="11"/>
        <v>0</v>
      </c>
      <c r="L256" s="33"/>
      <c r="M256" s="34"/>
    </row>
    <row r="257" spans="1:13" ht="34.5" customHeight="1" x14ac:dyDescent="0.25">
      <c r="A257" s="26" t="s">
        <v>350</v>
      </c>
      <c r="B257" s="106" t="s">
        <v>1223</v>
      </c>
      <c r="C257" s="27" t="s">
        <v>1380</v>
      </c>
      <c r="D257" s="28" t="s">
        <v>668</v>
      </c>
      <c r="E257" s="36" t="s">
        <v>1224</v>
      </c>
      <c r="F257" s="36" t="s">
        <v>1225</v>
      </c>
      <c r="G257" s="30" t="s">
        <v>840</v>
      </c>
      <c r="H257" s="31"/>
      <c r="I257" s="32" t="s">
        <v>1016</v>
      </c>
      <c r="J257" s="32" t="b">
        <f t="shared" si="10"/>
        <v>0</v>
      </c>
      <c r="K257" s="31">
        <f t="shared" si="11"/>
        <v>0</v>
      </c>
      <c r="L257" s="33"/>
      <c r="M257" s="34"/>
    </row>
    <row r="258" spans="1:13" ht="34.5" customHeight="1" x14ac:dyDescent="0.25">
      <c r="A258" s="26" t="s">
        <v>353</v>
      </c>
      <c r="B258" s="106" t="s">
        <v>1223</v>
      </c>
      <c r="C258" s="27" t="s">
        <v>1380</v>
      </c>
      <c r="D258" s="28" t="s">
        <v>668</v>
      </c>
      <c r="E258" s="36" t="s">
        <v>1224</v>
      </c>
      <c r="F258" s="36" t="s">
        <v>1225</v>
      </c>
      <c r="G258" s="30" t="s">
        <v>840</v>
      </c>
      <c r="H258" s="31"/>
      <c r="I258" s="32" t="s">
        <v>1016</v>
      </c>
      <c r="J258" s="32" t="b">
        <f t="shared" si="10"/>
        <v>0</v>
      </c>
      <c r="K258" s="31">
        <f t="shared" si="11"/>
        <v>0</v>
      </c>
      <c r="L258" s="33"/>
      <c r="M258" s="34"/>
    </row>
    <row r="259" spans="1:13" ht="34.5" customHeight="1" x14ac:dyDescent="0.25">
      <c r="A259" s="26" t="s">
        <v>357</v>
      </c>
      <c r="B259" s="101" t="s">
        <v>1223</v>
      </c>
      <c r="C259" s="27" t="s">
        <v>773</v>
      </c>
      <c r="D259" s="28" t="s">
        <v>774</v>
      </c>
      <c r="E259" s="36" t="s">
        <v>1224</v>
      </c>
      <c r="F259" s="36" t="s">
        <v>1225</v>
      </c>
      <c r="G259" s="30" t="s">
        <v>840</v>
      </c>
      <c r="H259" s="31"/>
      <c r="I259" s="32" t="s">
        <v>1016</v>
      </c>
      <c r="J259" s="32" t="b">
        <f t="shared" si="10"/>
        <v>0</v>
      </c>
      <c r="K259" s="31">
        <f t="shared" si="11"/>
        <v>0</v>
      </c>
      <c r="L259" s="33"/>
      <c r="M259" s="34"/>
    </row>
    <row r="260" spans="1:13" ht="34.5" customHeight="1" x14ac:dyDescent="0.25">
      <c r="A260" s="26" t="s">
        <v>358</v>
      </c>
      <c r="B260" s="101" t="s">
        <v>1223</v>
      </c>
      <c r="C260" s="27" t="s">
        <v>1176</v>
      </c>
      <c r="D260" s="28" t="s">
        <v>774</v>
      </c>
      <c r="E260" s="36" t="s">
        <v>1224</v>
      </c>
      <c r="F260" s="36" t="s">
        <v>1225</v>
      </c>
      <c r="G260" s="30" t="s">
        <v>840</v>
      </c>
      <c r="H260" s="31"/>
      <c r="I260" s="32" t="s">
        <v>1016</v>
      </c>
      <c r="J260" s="32" t="b">
        <f t="shared" si="10"/>
        <v>0</v>
      </c>
      <c r="K260" s="31">
        <f t="shared" si="11"/>
        <v>0</v>
      </c>
      <c r="L260" s="33"/>
      <c r="M260" s="34"/>
    </row>
    <row r="261" spans="1:13" ht="34.5" customHeight="1" x14ac:dyDescent="0.25">
      <c r="A261" s="26" t="s">
        <v>359</v>
      </c>
      <c r="B261" s="101" t="s">
        <v>1228</v>
      </c>
      <c r="C261" s="27" t="s">
        <v>1376</v>
      </c>
      <c r="D261" s="28" t="s">
        <v>774</v>
      </c>
      <c r="E261" s="36" t="s">
        <v>1229</v>
      </c>
      <c r="F261" s="36" t="s">
        <v>1014</v>
      </c>
      <c r="G261" s="30">
        <v>902569</v>
      </c>
      <c r="H261" s="31"/>
      <c r="I261" s="32" t="s">
        <v>1016</v>
      </c>
      <c r="J261" s="32" t="b">
        <f t="shared" si="10"/>
        <v>0</v>
      </c>
      <c r="K261" s="31">
        <f t="shared" si="11"/>
        <v>0</v>
      </c>
      <c r="L261" s="33"/>
      <c r="M261" s="34"/>
    </row>
    <row r="262" spans="1:13" ht="34.5" customHeight="1" x14ac:dyDescent="0.25">
      <c r="A262" s="26" t="s">
        <v>360</v>
      </c>
      <c r="B262" s="101" t="s">
        <v>1230</v>
      </c>
      <c r="C262" s="27" t="s">
        <v>1376</v>
      </c>
      <c r="D262" s="28" t="s">
        <v>774</v>
      </c>
      <c r="E262" s="36" t="s">
        <v>1231</v>
      </c>
      <c r="F262" s="36" t="s">
        <v>810</v>
      </c>
      <c r="G262" s="30" t="s">
        <v>1232</v>
      </c>
      <c r="H262" s="31">
        <v>180</v>
      </c>
      <c r="I262" s="32" t="s">
        <v>1016</v>
      </c>
      <c r="J262" s="32" t="b">
        <f t="shared" si="10"/>
        <v>0</v>
      </c>
      <c r="K262" s="31">
        <f t="shared" si="11"/>
        <v>0</v>
      </c>
      <c r="L262" s="33"/>
      <c r="M262" s="34"/>
    </row>
    <row r="263" spans="1:13" ht="34.5" customHeight="1" x14ac:dyDescent="0.25">
      <c r="A263" s="26" t="s">
        <v>361</v>
      </c>
      <c r="B263" s="101" t="s">
        <v>1233</v>
      </c>
      <c r="C263" s="27" t="s">
        <v>1380</v>
      </c>
      <c r="D263" s="28" t="s">
        <v>1327</v>
      </c>
      <c r="E263" s="36" t="s">
        <v>1235</v>
      </c>
      <c r="F263" s="36" t="s">
        <v>1234</v>
      </c>
      <c r="G263" s="30" t="s">
        <v>840</v>
      </c>
      <c r="H263" s="31"/>
      <c r="I263" s="32" t="s">
        <v>1016</v>
      </c>
      <c r="J263" s="32" t="b">
        <f t="shared" si="10"/>
        <v>0</v>
      </c>
      <c r="K263" s="31">
        <f t="shared" si="11"/>
        <v>0</v>
      </c>
      <c r="L263" s="33"/>
      <c r="M263" s="34"/>
    </row>
    <row r="264" spans="1:13" ht="34.5" customHeight="1" x14ac:dyDescent="0.25">
      <c r="A264" s="26" t="s">
        <v>369</v>
      </c>
      <c r="B264" s="101" t="s">
        <v>1242</v>
      </c>
      <c r="C264" s="27" t="s">
        <v>1376</v>
      </c>
      <c r="D264" s="28" t="s">
        <v>774</v>
      </c>
      <c r="E264" s="36"/>
      <c r="F264" s="29"/>
      <c r="G264" s="30" t="s">
        <v>1243</v>
      </c>
      <c r="H264" s="31"/>
      <c r="I264" s="32" t="s">
        <v>1102</v>
      </c>
      <c r="J264" s="32" t="b">
        <f t="shared" si="10"/>
        <v>0</v>
      </c>
      <c r="K264" s="31">
        <f t="shared" si="11"/>
        <v>0</v>
      </c>
      <c r="L264" s="33"/>
      <c r="M264" s="34"/>
    </row>
    <row r="265" spans="1:13" ht="34.5" customHeight="1" x14ac:dyDescent="0.25">
      <c r="A265" s="26" t="s">
        <v>370</v>
      </c>
      <c r="B265" s="101" t="s">
        <v>1242</v>
      </c>
      <c r="C265" s="27" t="s">
        <v>1376</v>
      </c>
      <c r="D265" s="28" t="s">
        <v>774</v>
      </c>
      <c r="E265" s="36"/>
      <c r="F265" s="29"/>
      <c r="G265" s="30" t="s">
        <v>840</v>
      </c>
      <c r="H265" s="31"/>
      <c r="I265" s="32" t="s">
        <v>1102</v>
      </c>
      <c r="J265" s="32" t="b">
        <f t="shared" si="10"/>
        <v>0</v>
      </c>
      <c r="K265" s="31">
        <f t="shared" si="11"/>
        <v>0</v>
      </c>
      <c r="L265" s="33"/>
      <c r="M265" s="34"/>
    </row>
    <row r="266" spans="1:13" ht="34.5" customHeight="1" x14ac:dyDescent="0.25">
      <c r="A266" s="26" t="s">
        <v>371</v>
      </c>
      <c r="B266" s="101" t="s">
        <v>1245</v>
      </c>
      <c r="C266" s="27" t="s">
        <v>1376</v>
      </c>
      <c r="D266" s="28" t="s">
        <v>774</v>
      </c>
      <c r="E266" s="36" t="s">
        <v>1246</v>
      </c>
      <c r="F266" s="36" t="s">
        <v>1247</v>
      </c>
      <c r="G266" s="30" t="s">
        <v>1248</v>
      </c>
      <c r="H266" s="31"/>
      <c r="I266" s="32" t="s">
        <v>1072</v>
      </c>
      <c r="J266" s="32" t="b">
        <f t="shared" si="10"/>
        <v>0</v>
      </c>
      <c r="K266" s="31">
        <f t="shared" si="11"/>
        <v>0</v>
      </c>
      <c r="L266" s="33"/>
      <c r="M266" s="34"/>
    </row>
    <row r="267" spans="1:13" ht="34.5" customHeight="1" x14ac:dyDescent="0.25">
      <c r="A267" s="26" t="s">
        <v>372</v>
      </c>
      <c r="B267" s="101" t="s">
        <v>640</v>
      </c>
      <c r="C267" s="27" t="s">
        <v>1380</v>
      </c>
      <c r="D267" s="28" t="s">
        <v>668</v>
      </c>
      <c r="E267" s="36" t="s">
        <v>673</v>
      </c>
      <c r="F267" s="36" t="s">
        <v>698</v>
      </c>
      <c r="G267" s="30" t="s">
        <v>840</v>
      </c>
      <c r="H267" s="31"/>
      <c r="I267" s="32" t="s">
        <v>1016</v>
      </c>
      <c r="J267" s="32" t="b">
        <f t="shared" si="10"/>
        <v>0</v>
      </c>
      <c r="K267" s="31">
        <f t="shared" si="11"/>
        <v>0</v>
      </c>
      <c r="L267" s="33"/>
      <c r="M267" s="34"/>
    </row>
    <row r="268" spans="1:13" ht="34.5" customHeight="1" x14ac:dyDescent="0.25">
      <c r="A268" s="26" t="s">
        <v>373</v>
      </c>
      <c r="B268" s="101" t="s">
        <v>1249</v>
      </c>
      <c r="C268" s="27" t="s">
        <v>1383</v>
      </c>
      <c r="D268" s="28" t="s">
        <v>774</v>
      </c>
      <c r="E268" s="36" t="s">
        <v>1250</v>
      </c>
      <c r="F268" s="36" t="s">
        <v>840</v>
      </c>
      <c r="G268" s="30" t="s">
        <v>840</v>
      </c>
      <c r="H268" s="31"/>
      <c r="I268" s="32" t="s">
        <v>1016</v>
      </c>
      <c r="J268" s="32" t="b">
        <f t="shared" si="10"/>
        <v>0</v>
      </c>
      <c r="K268" s="31">
        <f t="shared" si="11"/>
        <v>0</v>
      </c>
      <c r="L268" s="33"/>
      <c r="M268" s="34"/>
    </row>
    <row r="269" spans="1:13" ht="34.5" customHeight="1" x14ac:dyDescent="0.25">
      <c r="A269" s="26" t="s">
        <v>374</v>
      </c>
      <c r="B269" s="101" t="s">
        <v>1251</v>
      </c>
      <c r="C269" s="27" t="s">
        <v>1380</v>
      </c>
      <c r="D269" s="28" t="s">
        <v>1252</v>
      </c>
      <c r="E269" s="36" t="s">
        <v>1253</v>
      </c>
      <c r="F269" s="36" t="s">
        <v>1254</v>
      </c>
      <c r="G269" s="30" t="s">
        <v>840</v>
      </c>
      <c r="H269" s="31"/>
      <c r="I269" s="32" t="s">
        <v>1016</v>
      </c>
      <c r="J269" s="32" t="b">
        <f t="shared" ref="J269:J332" si="12">IF(I269="b","0,6",IF(I269="r","0,2",IF(I269="o",0.8)))</f>
        <v>0</v>
      </c>
      <c r="K269" s="31">
        <f t="shared" si="11"/>
        <v>0</v>
      </c>
      <c r="L269" s="33"/>
      <c r="M269" s="34"/>
    </row>
    <row r="270" spans="1:13" ht="34.5" customHeight="1" x14ac:dyDescent="0.25">
      <c r="A270" s="26" t="s">
        <v>375</v>
      </c>
      <c r="B270" s="101" t="s">
        <v>1255</v>
      </c>
      <c r="C270" s="27" t="s">
        <v>1380</v>
      </c>
      <c r="D270" s="28" t="s">
        <v>668</v>
      </c>
      <c r="E270" s="36" t="s">
        <v>1256</v>
      </c>
      <c r="F270" s="36" t="s">
        <v>1257</v>
      </c>
      <c r="G270" s="30" t="s">
        <v>840</v>
      </c>
      <c r="H270" s="31"/>
      <c r="I270" s="32" t="s">
        <v>1016</v>
      </c>
      <c r="J270" s="32" t="b">
        <f t="shared" si="12"/>
        <v>0</v>
      </c>
      <c r="K270" s="31">
        <f t="shared" si="11"/>
        <v>0</v>
      </c>
      <c r="L270" s="33"/>
      <c r="M270" s="34"/>
    </row>
    <row r="271" spans="1:13" ht="34.5" customHeight="1" x14ac:dyDescent="0.25">
      <c r="A271" s="26" t="s">
        <v>376</v>
      </c>
      <c r="B271" s="101" t="s">
        <v>1258</v>
      </c>
      <c r="C271" s="27" t="s">
        <v>1376</v>
      </c>
      <c r="D271" s="28" t="s">
        <v>1359</v>
      </c>
      <c r="E271" s="36" t="s">
        <v>1259</v>
      </c>
      <c r="F271" s="36" t="s">
        <v>766</v>
      </c>
      <c r="G271" s="30" t="s">
        <v>840</v>
      </c>
      <c r="H271" s="31"/>
      <c r="I271" s="32" t="s">
        <v>1016</v>
      </c>
      <c r="J271" s="32" t="b">
        <f t="shared" si="12"/>
        <v>0</v>
      </c>
      <c r="K271" s="31">
        <f t="shared" si="11"/>
        <v>0</v>
      </c>
      <c r="L271" s="33"/>
      <c r="M271" s="34"/>
    </row>
    <row r="272" spans="1:13" ht="34.5" customHeight="1" x14ac:dyDescent="0.25">
      <c r="A272" s="26" t="s">
        <v>377</v>
      </c>
      <c r="B272" s="101" t="s">
        <v>1261</v>
      </c>
      <c r="C272" s="27" t="s">
        <v>1376</v>
      </c>
      <c r="D272" s="28" t="s">
        <v>1359</v>
      </c>
      <c r="E272" s="36" t="s">
        <v>1260</v>
      </c>
      <c r="F272" s="36" t="s">
        <v>1262</v>
      </c>
      <c r="G272" s="30" t="s">
        <v>840</v>
      </c>
      <c r="H272" s="31"/>
      <c r="I272" s="32" t="s">
        <v>1016</v>
      </c>
      <c r="J272" s="32" t="b">
        <f t="shared" si="12"/>
        <v>0</v>
      </c>
      <c r="K272" s="31">
        <f t="shared" si="11"/>
        <v>0</v>
      </c>
      <c r="L272" s="33"/>
      <c r="M272" s="34"/>
    </row>
    <row r="273" spans="1:13" ht="34.5" customHeight="1" x14ac:dyDescent="0.25">
      <c r="A273" s="26" t="s">
        <v>378</v>
      </c>
      <c r="B273" s="101" t="s">
        <v>1261</v>
      </c>
      <c r="C273" s="27" t="s">
        <v>1376</v>
      </c>
      <c r="D273" s="28" t="s">
        <v>1359</v>
      </c>
      <c r="E273" s="36" t="s">
        <v>1260</v>
      </c>
      <c r="F273" s="36" t="s">
        <v>1262</v>
      </c>
      <c r="G273" s="30" t="s">
        <v>840</v>
      </c>
      <c r="H273" s="31"/>
      <c r="I273" s="32" t="s">
        <v>1016</v>
      </c>
      <c r="J273" s="32" t="b">
        <f t="shared" si="12"/>
        <v>0</v>
      </c>
      <c r="K273" s="31">
        <f t="shared" si="11"/>
        <v>0</v>
      </c>
      <c r="L273" s="33"/>
      <c r="M273" s="34"/>
    </row>
    <row r="274" spans="1:13" ht="34.5" customHeight="1" x14ac:dyDescent="0.25">
      <c r="A274" s="26" t="s">
        <v>379</v>
      </c>
      <c r="B274" s="101" t="s">
        <v>1263</v>
      </c>
      <c r="C274" s="27" t="s">
        <v>1376</v>
      </c>
      <c r="D274" s="28" t="s">
        <v>774</v>
      </c>
      <c r="E274" s="36" t="s">
        <v>1264</v>
      </c>
      <c r="F274" s="36" t="s">
        <v>1262</v>
      </c>
      <c r="G274" s="30" t="s">
        <v>840</v>
      </c>
      <c r="H274" s="31"/>
      <c r="I274" s="32" t="s">
        <v>1016</v>
      </c>
      <c r="J274" s="32" t="b">
        <f t="shared" si="12"/>
        <v>0</v>
      </c>
      <c r="K274" s="31">
        <f t="shared" si="11"/>
        <v>0</v>
      </c>
      <c r="L274" s="33"/>
      <c r="M274" s="34"/>
    </row>
    <row r="275" spans="1:13" ht="34.5" customHeight="1" x14ac:dyDescent="0.25">
      <c r="A275" s="26" t="s">
        <v>380</v>
      </c>
      <c r="B275" s="100" t="s">
        <v>1263</v>
      </c>
      <c r="C275" s="27" t="s">
        <v>1376</v>
      </c>
      <c r="D275" s="28" t="s">
        <v>774</v>
      </c>
      <c r="E275" s="36" t="s">
        <v>1264</v>
      </c>
      <c r="F275" s="36" t="s">
        <v>1262</v>
      </c>
      <c r="G275" s="30" t="s">
        <v>840</v>
      </c>
      <c r="H275" s="31"/>
      <c r="I275" s="32" t="s">
        <v>1016</v>
      </c>
      <c r="J275" s="32" t="b">
        <f t="shared" si="12"/>
        <v>0</v>
      </c>
      <c r="K275" s="31">
        <f t="shared" si="11"/>
        <v>0</v>
      </c>
      <c r="L275" s="33"/>
      <c r="M275" s="34"/>
    </row>
    <row r="276" spans="1:13" ht="34.5" customHeight="1" x14ac:dyDescent="0.25">
      <c r="A276" s="26" t="s">
        <v>381</v>
      </c>
      <c r="B276" s="101" t="s">
        <v>1146</v>
      </c>
      <c r="C276" s="27" t="s">
        <v>1376</v>
      </c>
      <c r="D276" s="28" t="s">
        <v>1359</v>
      </c>
      <c r="E276" s="36" t="s">
        <v>1143</v>
      </c>
      <c r="F276" s="36" t="s">
        <v>1144</v>
      </c>
      <c r="G276" s="30" t="s">
        <v>1145</v>
      </c>
      <c r="H276" s="31"/>
      <c r="I276" s="32" t="s">
        <v>1016</v>
      </c>
      <c r="J276" s="32" t="b">
        <f t="shared" si="12"/>
        <v>0</v>
      </c>
      <c r="K276" s="31">
        <f t="shared" ref="K276:K339" si="13">J276*H276</f>
        <v>0</v>
      </c>
      <c r="L276" s="33"/>
      <c r="M276" s="34"/>
    </row>
    <row r="277" spans="1:13" ht="34.5" customHeight="1" x14ac:dyDescent="0.25">
      <c r="A277" s="26" t="s">
        <v>382</v>
      </c>
      <c r="B277" s="101" t="s">
        <v>1223</v>
      </c>
      <c r="C277" s="27" t="s">
        <v>1380</v>
      </c>
      <c r="D277" s="28" t="s">
        <v>668</v>
      </c>
      <c r="E277" s="36" t="s">
        <v>1224</v>
      </c>
      <c r="F277" s="36" t="s">
        <v>1225</v>
      </c>
      <c r="G277" s="30" t="s">
        <v>840</v>
      </c>
      <c r="H277" s="31"/>
      <c r="I277" s="32" t="s">
        <v>1016</v>
      </c>
      <c r="J277" s="32" t="b">
        <f t="shared" si="12"/>
        <v>0</v>
      </c>
      <c r="K277" s="31">
        <f t="shared" si="13"/>
        <v>0</v>
      </c>
      <c r="L277" s="33"/>
      <c r="M277" s="34"/>
    </row>
    <row r="278" spans="1:13" ht="34.5" customHeight="1" x14ac:dyDescent="0.25">
      <c r="A278" s="26" t="s">
        <v>383</v>
      </c>
      <c r="B278" s="101" t="s">
        <v>1223</v>
      </c>
      <c r="C278" s="27" t="s">
        <v>1062</v>
      </c>
      <c r="D278" s="28" t="s">
        <v>774</v>
      </c>
      <c r="E278" s="36" t="s">
        <v>1224</v>
      </c>
      <c r="F278" s="36" t="s">
        <v>1225</v>
      </c>
      <c r="G278" s="30" t="s">
        <v>840</v>
      </c>
      <c r="H278" s="31"/>
      <c r="I278" s="32" t="s">
        <v>1016</v>
      </c>
      <c r="J278" s="32" t="b">
        <f t="shared" si="12"/>
        <v>0</v>
      </c>
      <c r="K278" s="31">
        <f t="shared" si="13"/>
        <v>0</v>
      </c>
      <c r="L278" s="33"/>
      <c r="M278" s="34"/>
    </row>
    <row r="279" spans="1:13" ht="34.5" customHeight="1" x14ac:dyDescent="0.25">
      <c r="A279" s="26" t="s">
        <v>384</v>
      </c>
      <c r="B279" s="101" t="s">
        <v>1223</v>
      </c>
      <c r="C279" s="27" t="s">
        <v>1380</v>
      </c>
      <c r="D279" s="28" t="s">
        <v>668</v>
      </c>
      <c r="E279" s="36" t="s">
        <v>1224</v>
      </c>
      <c r="F279" s="36" t="s">
        <v>1225</v>
      </c>
      <c r="G279" s="30" t="s">
        <v>840</v>
      </c>
      <c r="H279" s="31"/>
      <c r="I279" s="32" t="s">
        <v>1016</v>
      </c>
      <c r="J279" s="32" t="b">
        <f t="shared" si="12"/>
        <v>0</v>
      </c>
      <c r="K279" s="31">
        <f t="shared" si="13"/>
        <v>0</v>
      </c>
      <c r="L279" s="33"/>
      <c r="M279" s="34"/>
    </row>
    <row r="280" spans="1:13" ht="34.5" customHeight="1" x14ac:dyDescent="0.25">
      <c r="A280" s="26" t="s">
        <v>385</v>
      </c>
      <c r="B280" s="101" t="s">
        <v>708</v>
      </c>
      <c r="C280" s="27" t="s">
        <v>750</v>
      </c>
      <c r="D280" s="28" t="s">
        <v>1311</v>
      </c>
      <c r="E280" s="36" t="s">
        <v>1266</v>
      </c>
      <c r="F280" s="36" t="s">
        <v>654</v>
      </c>
      <c r="G280" s="30" t="s">
        <v>1267</v>
      </c>
      <c r="H280" s="31"/>
      <c r="I280" s="32" t="s">
        <v>1016</v>
      </c>
      <c r="J280" s="32" t="b">
        <f t="shared" si="12"/>
        <v>0</v>
      </c>
      <c r="K280" s="31">
        <f t="shared" si="13"/>
        <v>0</v>
      </c>
      <c r="L280" s="33"/>
      <c r="M280" s="34"/>
    </row>
    <row r="281" spans="1:13" ht="34.5" customHeight="1" x14ac:dyDescent="0.25">
      <c r="A281" s="26" t="s">
        <v>386</v>
      </c>
      <c r="B281" s="101" t="s">
        <v>701</v>
      </c>
      <c r="C281" s="27" t="s">
        <v>653</v>
      </c>
      <c r="D281" s="28" t="s">
        <v>1299</v>
      </c>
      <c r="E281" s="36" t="s">
        <v>686</v>
      </c>
      <c r="F281" s="36" t="s">
        <v>703</v>
      </c>
      <c r="G281" s="30">
        <v>107896637609296</v>
      </c>
      <c r="H281" s="31"/>
      <c r="I281" s="32" t="s">
        <v>1064</v>
      </c>
      <c r="J281" s="32" t="b">
        <f t="shared" si="12"/>
        <v>0</v>
      </c>
      <c r="K281" s="31">
        <f t="shared" si="13"/>
        <v>0</v>
      </c>
      <c r="L281" s="33"/>
      <c r="M281" s="34"/>
    </row>
    <row r="282" spans="1:13" ht="34.5" customHeight="1" x14ac:dyDescent="0.25">
      <c r="A282" s="26" t="s">
        <v>387</v>
      </c>
      <c r="B282" s="101" t="s">
        <v>665</v>
      </c>
      <c r="C282" s="27" t="s">
        <v>990</v>
      </c>
      <c r="D282" s="28" t="s">
        <v>668</v>
      </c>
      <c r="E282" s="36" t="s">
        <v>666</v>
      </c>
      <c r="F282" s="36"/>
      <c r="G282" s="30" t="s">
        <v>667</v>
      </c>
      <c r="H282" s="31"/>
      <c r="I282" s="32" t="s">
        <v>1102</v>
      </c>
      <c r="J282" s="32" t="b">
        <f t="shared" si="12"/>
        <v>0</v>
      </c>
      <c r="K282" s="31">
        <f t="shared" si="13"/>
        <v>0</v>
      </c>
      <c r="L282" s="33"/>
      <c r="M282" s="34"/>
    </row>
    <row r="283" spans="1:13" ht="34.5" customHeight="1" x14ac:dyDescent="0.25">
      <c r="A283" s="26" t="s">
        <v>388</v>
      </c>
      <c r="B283" s="106" t="s">
        <v>1077</v>
      </c>
      <c r="C283" s="27" t="s">
        <v>1380</v>
      </c>
      <c r="D283" s="28" t="s">
        <v>668</v>
      </c>
      <c r="E283" s="36" t="s">
        <v>1078</v>
      </c>
      <c r="F283" s="36" t="s">
        <v>1079</v>
      </c>
      <c r="G283" s="30">
        <v>14450</v>
      </c>
      <c r="H283" s="31"/>
      <c r="I283" s="32" t="s">
        <v>1102</v>
      </c>
      <c r="J283" s="32" t="b">
        <f t="shared" si="12"/>
        <v>0</v>
      </c>
      <c r="K283" s="31">
        <f t="shared" si="13"/>
        <v>0</v>
      </c>
      <c r="L283" s="33"/>
      <c r="M283" s="34"/>
    </row>
    <row r="284" spans="1:13" ht="34.5" customHeight="1" x14ac:dyDescent="0.25">
      <c r="A284" s="26" t="s">
        <v>389</v>
      </c>
      <c r="B284" s="101" t="s">
        <v>1397</v>
      </c>
      <c r="C284" s="27" t="s">
        <v>1376</v>
      </c>
      <c r="D284" s="28" t="s">
        <v>774</v>
      </c>
      <c r="E284" s="36" t="s">
        <v>1271</v>
      </c>
      <c r="F284" s="36" t="s">
        <v>810</v>
      </c>
      <c r="G284" s="30" t="s">
        <v>840</v>
      </c>
      <c r="H284" s="31"/>
      <c r="I284" s="32" t="s">
        <v>1016</v>
      </c>
      <c r="J284" s="32" t="b">
        <f t="shared" si="12"/>
        <v>0</v>
      </c>
      <c r="K284" s="31">
        <f t="shared" si="13"/>
        <v>0</v>
      </c>
      <c r="L284" s="33"/>
      <c r="M284" s="34"/>
    </row>
    <row r="285" spans="1:13" ht="34.5" customHeight="1" x14ac:dyDescent="0.25">
      <c r="A285" s="26" t="s">
        <v>390</v>
      </c>
      <c r="B285" s="101" t="s">
        <v>1272</v>
      </c>
      <c r="C285" s="27" t="s">
        <v>1380</v>
      </c>
      <c r="D285" s="28" t="s">
        <v>1344</v>
      </c>
      <c r="E285" s="36" t="s">
        <v>1274</v>
      </c>
      <c r="F285" s="36" t="s">
        <v>1273</v>
      </c>
      <c r="G285" s="30" t="s">
        <v>1275</v>
      </c>
      <c r="H285" s="31"/>
      <c r="I285" s="32" t="s">
        <v>1016</v>
      </c>
      <c r="J285" s="32" t="b">
        <f t="shared" si="12"/>
        <v>0</v>
      </c>
      <c r="K285" s="31">
        <f t="shared" si="13"/>
        <v>0</v>
      </c>
      <c r="L285" s="33"/>
      <c r="M285" s="34"/>
    </row>
    <row r="286" spans="1:13" ht="34.5" customHeight="1" x14ac:dyDescent="0.25">
      <c r="A286" s="26" t="s">
        <v>391</v>
      </c>
      <c r="B286" s="101" t="s">
        <v>1276</v>
      </c>
      <c r="C286" s="27" t="s">
        <v>1380</v>
      </c>
      <c r="D286" s="28" t="s">
        <v>1344</v>
      </c>
      <c r="E286" s="36" t="s">
        <v>1278</v>
      </c>
      <c r="F286" s="36" t="s">
        <v>1277</v>
      </c>
      <c r="G286" s="30" t="s">
        <v>840</v>
      </c>
      <c r="H286" s="31"/>
      <c r="I286" s="32" t="s">
        <v>1016</v>
      </c>
      <c r="J286" s="32" t="b">
        <f t="shared" si="12"/>
        <v>0</v>
      </c>
      <c r="K286" s="31">
        <f t="shared" si="13"/>
        <v>0</v>
      </c>
      <c r="L286" s="33"/>
      <c r="M286" s="34"/>
    </row>
    <row r="287" spans="1:13" ht="34.5" customHeight="1" x14ac:dyDescent="0.25">
      <c r="A287" s="26" t="s">
        <v>392</v>
      </c>
      <c r="B287" s="101" t="s">
        <v>1276</v>
      </c>
      <c r="C287" s="27" t="s">
        <v>1376</v>
      </c>
      <c r="D287" s="28" t="s">
        <v>1279</v>
      </c>
      <c r="E287" s="36" t="s">
        <v>1278</v>
      </c>
      <c r="F287" s="36" t="s">
        <v>1277</v>
      </c>
      <c r="G287" s="30" t="s">
        <v>840</v>
      </c>
      <c r="H287" s="31"/>
      <c r="I287" s="32" t="s">
        <v>1016</v>
      </c>
      <c r="J287" s="32" t="b">
        <f t="shared" si="12"/>
        <v>0</v>
      </c>
      <c r="K287" s="31">
        <f t="shared" si="13"/>
        <v>0</v>
      </c>
      <c r="L287" s="33"/>
      <c r="M287" s="34"/>
    </row>
    <row r="288" spans="1:13" ht="34.5" customHeight="1" x14ac:dyDescent="0.25">
      <c r="A288" s="26" t="s">
        <v>393</v>
      </c>
      <c r="B288" s="101" t="s">
        <v>1280</v>
      </c>
      <c r="C288" s="27" t="s">
        <v>1123</v>
      </c>
      <c r="D288" s="28" t="s">
        <v>668</v>
      </c>
      <c r="E288" s="36" t="s">
        <v>1282</v>
      </c>
      <c r="F288" s="36" t="s">
        <v>1281</v>
      </c>
      <c r="G288" s="30" t="s">
        <v>840</v>
      </c>
      <c r="H288" s="31"/>
      <c r="I288" s="32" t="s">
        <v>1016</v>
      </c>
      <c r="J288" s="32" t="b">
        <f t="shared" si="12"/>
        <v>0</v>
      </c>
      <c r="K288" s="31">
        <f t="shared" si="13"/>
        <v>0</v>
      </c>
      <c r="L288" s="33"/>
      <c r="M288" s="34"/>
    </row>
    <row r="289" spans="1:13" ht="34.5" customHeight="1" x14ac:dyDescent="0.25">
      <c r="A289" s="26" t="s">
        <v>394</v>
      </c>
      <c r="B289" s="101" t="s">
        <v>1285</v>
      </c>
      <c r="C289" s="27" t="s">
        <v>1380</v>
      </c>
      <c r="D289" s="28" t="s">
        <v>1212</v>
      </c>
      <c r="E289" s="36" t="s">
        <v>1286</v>
      </c>
      <c r="F289" s="36" t="s">
        <v>1142</v>
      </c>
      <c r="G289" s="30" t="s">
        <v>840</v>
      </c>
      <c r="H289" s="31"/>
      <c r="I289" s="32" t="s">
        <v>1016</v>
      </c>
      <c r="J289" s="32" t="b">
        <f t="shared" si="12"/>
        <v>0</v>
      </c>
      <c r="K289" s="31">
        <f t="shared" si="13"/>
        <v>0</v>
      </c>
      <c r="L289" s="33"/>
      <c r="M289" s="34"/>
    </row>
    <row r="290" spans="1:13" ht="34.5" customHeight="1" x14ac:dyDescent="0.25">
      <c r="A290" s="26" t="s">
        <v>395</v>
      </c>
      <c r="B290" s="101" t="s">
        <v>1288</v>
      </c>
      <c r="C290" s="27" t="s">
        <v>957</v>
      </c>
      <c r="D290" s="28" t="s">
        <v>1359</v>
      </c>
      <c r="E290" s="36" t="s">
        <v>1287</v>
      </c>
      <c r="F290" s="36" t="s">
        <v>1126</v>
      </c>
      <c r="G290" s="30" t="s">
        <v>1289</v>
      </c>
      <c r="H290" s="31"/>
      <c r="I290" s="32" t="s">
        <v>1016</v>
      </c>
      <c r="J290" s="32" t="b">
        <f t="shared" si="12"/>
        <v>0</v>
      </c>
      <c r="K290" s="31">
        <f t="shared" si="13"/>
        <v>0</v>
      </c>
      <c r="L290" s="33"/>
      <c r="M290" s="34"/>
    </row>
    <row r="291" spans="1:13" ht="34.5" customHeight="1" x14ac:dyDescent="0.25">
      <c r="A291" s="26" t="s">
        <v>396</v>
      </c>
      <c r="B291" s="101" t="s">
        <v>946</v>
      </c>
      <c r="C291" s="27" t="s">
        <v>1376</v>
      </c>
      <c r="D291" s="28" t="s">
        <v>774</v>
      </c>
      <c r="E291" s="36" t="s">
        <v>1290</v>
      </c>
      <c r="F291" s="36" t="s">
        <v>1291</v>
      </c>
      <c r="G291" s="30" t="s">
        <v>840</v>
      </c>
      <c r="H291" s="31"/>
      <c r="I291" s="32" t="s">
        <v>1016</v>
      </c>
      <c r="J291" s="32" t="b">
        <f t="shared" si="12"/>
        <v>0</v>
      </c>
      <c r="K291" s="31">
        <f t="shared" si="13"/>
        <v>0</v>
      </c>
      <c r="L291" s="33"/>
      <c r="M291" s="34"/>
    </row>
    <row r="292" spans="1:13" ht="34.5" customHeight="1" x14ac:dyDescent="0.25">
      <c r="A292" s="26" t="s">
        <v>397</v>
      </c>
      <c r="B292" s="97" t="s">
        <v>867</v>
      </c>
      <c r="C292" s="27" t="s">
        <v>1380</v>
      </c>
      <c r="D292" s="28" t="s">
        <v>1212</v>
      </c>
      <c r="E292" s="36" t="s">
        <v>947</v>
      </c>
      <c r="F292" s="53" t="s">
        <v>1144</v>
      </c>
      <c r="G292" s="30" t="s">
        <v>840</v>
      </c>
      <c r="H292" s="31"/>
      <c r="I292" s="32" t="s">
        <v>1102</v>
      </c>
      <c r="J292" s="32" t="b">
        <f t="shared" si="12"/>
        <v>0</v>
      </c>
      <c r="K292" s="31">
        <f t="shared" si="13"/>
        <v>0</v>
      </c>
      <c r="L292" s="33"/>
      <c r="M292" s="34"/>
    </row>
    <row r="293" spans="1:13" ht="34.5" customHeight="1" x14ac:dyDescent="0.25">
      <c r="A293" s="26" t="s">
        <v>398</v>
      </c>
      <c r="B293" s="101" t="s">
        <v>946</v>
      </c>
      <c r="C293" s="27" t="s">
        <v>1380</v>
      </c>
      <c r="D293" s="28" t="s">
        <v>1212</v>
      </c>
      <c r="E293" s="53" t="s">
        <v>869</v>
      </c>
      <c r="F293" s="36" t="s">
        <v>868</v>
      </c>
      <c r="G293" s="30" t="s">
        <v>1145</v>
      </c>
      <c r="H293" s="31"/>
      <c r="I293" s="32" t="s">
        <v>1102</v>
      </c>
      <c r="J293" s="32" t="b">
        <f t="shared" si="12"/>
        <v>0</v>
      </c>
      <c r="K293" s="31">
        <f t="shared" si="13"/>
        <v>0</v>
      </c>
      <c r="L293" s="33"/>
      <c r="M293" s="34"/>
    </row>
    <row r="294" spans="1:13" ht="34.5" customHeight="1" x14ac:dyDescent="0.25">
      <c r="A294" s="26" t="s">
        <v>399</v>
      </c>
      <c r="B294" s="101" t="s">
        <v>1292</v>
      </c>
      <c r="C294" s="27" t="s">
        <v>1376</v>
      </c>
      <c r="D294" s="28" t="s">
        <v>1279</v>
      </c>
      <c r="E294" s="36" t="s">
        <v>1293</v>
      </c>
      <c r="F294" s="36" t="s">
        <v>654</v>
      </c>
      <c r="G294" s="30" t="s">
        <v>840</v>
      </c>
      <c r="H294" s="31"/>
      <c r="I294" s="32" t="s">
        <v>1016</v>
      </c>
      <c r="J294" s="32" t="b">
        <f t="shared" si="12"/>
        <v>0</v>
      </c>
      <c r="K294" s="31">
        <f t="shared" si="13"/>
        <v>0</v>
      </c>
      <c r="L294" s="33"/>
      <c r="M294" s="34"/>
    </row>
    <row r="295" spans="1:13" ht="34.5" customHeight="1" x14ac:dyDescent="0.25">
      <c r="A295" s="26" t="s">
        <v>400</v>
      </c>
      <c r="B295" s="101" t="s">
        <v>640</v>
      </c>
      <c r="C295" s="27" t="s">
        <v>1296</v>
      </c>
      <c r="D295" s="28" t="s">
        <v>1299</v>
      </c>
      <c r="E295" s="36" t="s">
        <v>1294</v>
      </c>
      <c r="F295" s="36" t="s">
        <v>960</v>
      </c>
      <c r="G295" s="30" t="s">
        <v>1295</v>
      </c>
      <c r="H295" s="31"/>
      <c r="I295" s="32" t="s">
        <v>1016</v>
      </c>
      <c r="J295" s="32" t="b">
        <f t="shared" si="12"/>
        <v>0</v>
      </c>
      <c r="K295" s="31">
        <f t="shared" si="13"/>
        <v>0</v>
      </c>
      <c r="L295" s="33"/>
      <c r="M295" s="34"/>
    </row>
    <row r="296" spans="1:13" ht="34.5" customHeight="1" x14ac:dyDescent="0.25">
      <c r="A296" s="26" t="s">
        <v>401</v>
      </c>
      <c r="B296" s="101" t="s">
        <v>1288</v>
      </c>
      <c r="C296" s="27" t="s">
        <v>693</v>
      </c>
      <c r="D296" s="28" t="s">
        <v>1299</v>
      </c>
      <c r="E296" s="36" t="s">
        <v>1297</v>
      </c>
      <c r="F296" s="36" t="s">
        <v>634</v>
      </c>
      <c r="G296" s="30" t="s">
        <v>1298</v>
      </c>
      <c r="H296" s="31"/>
      <c r="I296" s="32" t="s">
        <v>1016</v>
      </c>
      <c r="J296" s="32" t="b">
        <f t="shared" si="12"/>
        <v>0</v>
      </c>
      <c r="K296" s="31">
        <f t="shared" si="13"/>
        <v>0</v>
      </c>
      <c r="L296" s="33"/>
      <c r="M296" s="34"/>
    </row>
    <row r="297" spans="1:13" ht="34.5" customHeight="1" x14ac:dyDescent="0.25">
      <c r="A297" s="26" t="s">
        <v>402</v>
      </c>
      <c r="B297" s="101" t="s">
        <v>1300</v>
      </c>
      <c r="C297" s="27" t="s">
        <v>1176</v>
      </c>
      <c r="D297" s="28" t="s">
        <v>1327</v>
      </c>
      <c r="E297" s="36" t="s">
        <v>1297</v>
      </c>
      <c r="F297" s="36" t="s">
        <v>634</v>
      </c>
      <c r="G297" s="30" t="s">
        <v>1298</v>
      </c>
      <c r="H297" s="31"/>
      <c r="I297" s="32" t="s">
        <v>1016</v>
      </c>
      <c r="J297" s="32" t="b">
        <f t="shared" si="12"/>
        <v>0</v>
      </c>
      <c r="K297" s="31">
        <f t="shared" si="13"/>
        <v>0</v>
      </c>
      <c r="L297" s="33"/>
      <c r="M297" s="34"/>
    </row>
    <row r="298" spans="1:13" ht="34.5" customHeight="1" x14ac:dyDescent="0.25">
      <c r="A298" s="26" t="s">
        <v>403</v>
      </c>
      <c r="B298" s="101" t="s">
        <v>1301</v>
      </c>
      <c r="C298" s="27" t="s">
        <v>990</v>
      </c>
      <c r="D298" s="28" t="s">
        <v>668</v>
      </c>
      <c r="E298" s="36" t="s">
        <v>1302</v>
      </c>
      <c r="F298" s="36" t="s">
        <v>1126</v>
      </c>
      <c r="G298" s="30" t="s">
        <v>1303</v>
      </c>
      <c r="H298" s="31"/>
      <c r="I298" s="32" t="s">
        <v>1016</v>
      </c>
      <c r="J298" s="32" t="b">
        <f t="shared" si="12"/>
        <v>0</v>
      </c>
      <c r="K298" s="31">
        <f t="shared" si="13"/>
        <v>0</v>
      </c>
      <c r="L298" s="33"/>
      <c r="M298" s="34"/>
    </row>
    <row r="299" spans="1:13" ht="34.5" customHeight="1" x14ac:dyDescent="0.25">
      <c r="A299" s="26" t="s">
        <v>404</v>
      </c>
      <c r="B299" s="101" t="s">
        <v>1301</v>
      </c>
      <c r="C299" s="27" t="s">
        <v>721</v>
      </c>
      <c r="D299" s="28" t="s">
        <v>1327</v>
      </c>
      <c r="E299" s="36" t="s">
        <v>1302</v>
      </c>
      <c r="F299" s="36" t="s">
        <v>1126</v>
      </c>
      <c r="G299" s="30" t="s">
        <v>840</v>
      </c>
      <c r="H299" s="31"/>
      <c r="I299" s="32" t="s">
        <v>1016</v>
      </c>
      <c r="J299" s="32" t="b">
        <f t="shared" si="12"/>
        <v>0</v>
      </c>
      <c r="K299" s="31">
        <f t="shared" si="13"/>
        <v>0</v>
      </c>
      <c r="L299" s="33"/>
      <c r="M299" s="34"/>
    </row>
    <row r="300" spans="1:13" ht="34.5" customHeight="1" x14ac:dyDescent="0.25">
      <c r="A300" s="26" t="s">
        <v>405</v>
      </c>
      <c r="B300" s="101" t="s">
        <v>1304</v>
      </c>
      <c r="C300" s="27" t="s">
        <v>1176</v>
      </c>
      <c r="D300" s="28" t="s">
        <v>1359</v>
      </c>
      <c r="E300" s="36" t="s">
        <v>959</v>
      </c>
      <c r="F300" s="36" t="s">
        <v>960</v>
      </c>
      <c r="G300" s="30" t="s">
        <v>1305</v>
      </c>
      <c r="H300" s="31"/>
      <c r="I300" s="32" t="s">
        <v>1016</v>
      </c>
      <c r="J300" s="32" t="b">
        <f t="shared" si="12"/>
        <v>0</v>
      </c>
      <c r="K300" s="31">
        <f t="shared" si="13"/>
        <v>0</v>
      </c>
      <c r="L300" s="33"/>
      <c r="M300" s="34"/>
    </row>
    <row r="301" spans="1:13" ht="34.5" customHeight="1" x14ac:dyDescent="0.25">
      <c r="A301" s="26" t="s">
        <v>406</v>
      </c>
      <c r="B301" s="101" t="s">
        <v>663</v>
      </c>
      <c r="C301" s="27" t="s">
        <v>1176</v>
      </c>
      <c r="D301" s="28" t="s">
        <v>1359</v>
      </c>
      <c r="E301" s="36" t="s">
        <v>1306</v>
      </c>
      <c r="F301" s="36" t="s">
        <v>664</v>
      </c>
      <c r="G301" s="30" t="s">
        <v>840</v>
      </c>
      <c r="H301" s="31"/>
      <c r="I301" s="32" t="s">
        <v>1016</v>
      </c>
      <c r="J301" s="32" t="b">
        <f t="shared" si="12"/>
        <v>0</v>
      </c>
      <c r="K301" s="31">
        <f t="shared" si="13"/>
        <v>0</v>
      </c>
      <c r="L301" s="33"/>
      <c r="M301" s="34"/>
    </row>
    <row r="302" spans="1:13" ht="34.5" customHeight="1" x14ac:dyDescent="0.25">
      <c r="A302" s="26" t="s">
        <v>407</v>
      </c>
      <c r="B302" s="101" t="s">
        <v>663</v>
      </c>
      <c r="C302" s="27" t="s">
        <v>1122</v>
      </c>
      <c r="D302" s="28" t="s">
        <v>1299</v>
      </c>
      <c r="E302" s="36" t="s">
        <v>1306</v>
      </c>
      <c r="F302" s="36" t="s">
        <v>664</v>
      </c>
      <c r="G302" s="30" t="s">
        <v>840</v>
      </c>
      <c r="H302" s="31"/>
      <c r="I302" s="32" t="s">
        <v>1016</v>
      </c>
      <c r="J302" s="32" t="b">
        <f t="shared" si="12"/>
        <v>0</v>
      </c>
      <c r="K302" s="31">
        <f t="shared" si="13"/>
        <v>0</v>
      </c>
      <c r="L302" s="33"/>
      <c r="M302" s="34"/>
    </row>
    <row r="303" spans="1:13" ht="34.5" customHeight="1" x14ac:dyDescent="0.25">
      <c r="A303" s="26" t="s">
        <v>408</v>
      </c>
      <c r="B303" s="101" t="s">
        <v>708</v>
      </c>
      <c r="C303" s="27" t="s">
        <v>750</v>
      </c>
      <c r="D303" s="28" t="s">
        <v>1311</v>
      </c>
      <c r="E303" s="36" t="s">
        <v>1307</v>
      </c>
      <c r="F303" s="36" t="s">
        <v>632</v>
      </c>
      <c r="G303" s="30" t="s">
        <v>1308</v>
      </c>
      <c r="H303" s="31"/>
      <c r="I303" s="32" t="s">
        <v>1102</v>
      </c>
      <c r="J303" s="32" t="b">
        <f t="shared" si="12"/>
        <v>0</v>
      </c>
      <c r="K303" s="31">
        <f t="shared" si="13"/>
        <v>0</v>
      </c>
      <c r="L303" s="33"/>
      <c r="M303" s="34"/>
    </row>
    <row r="304" spans="1:13" ht="34.5" customHeight="1" x14ac:dyDescent="0.25">
      <c r="A304" s="26" t="s">
        <v>409</v>
      </c>
      <c r="B304" s="101" t="s">
        <v>720</v>
      </c>
      <c r="C304" s="27" t="s">
        <v>721</v>
      </c>
      <c r="D304" s="28" t="s">
        <v>1327</v>
      </c>
      <c r="E304" s="36" t="s">
        <v>1310</v>
      </c>
      <c r="F304" s="36" t="s">
        <v>706</v>
      </c>
      <c r="G304" s="30" t="s">
        <v>1309</v>
      </c>
      <c r="H304" s="31"/>
      <c r="I304" s="32" t="s">
        <v>1016</v>
      </c>
      <c r="J304" s="32" t="b">
        <f t="shared" si="12"/>
        <v>0</v>
      </c>
      <c r="K304" s="31">
        <f t="shared" si="13"/>
        <v>0</v>
      </c>
      <c r="L304" s="33"/>
      <c r="M304" s="34"/>
    </row>
    <row r="305" spans="1:13" ht="34.5" customHeight="1" x14ac:dyDescent="0.25">
      <c r="A305" s="26" t="s">
        <v>410</v>
      </c>
      <c r="B305" s="101" t="s">
        <v>720</v>
      </c>
      <c r="C305" s="27" t="s">
        <v>750</v>
      </c>
      <c r="D305" s="28" t="s">
        <v>1299</v>
      </c>
      <c r="E305" s="36" t="s">
        <v>1310</v>
      </c>
      <c r="F305" s="36" t="s">
        <v>706</v>
      </c>
      <c r="G305" s="30" t="s">
        <v>1312</v>
      </c>
      <c r="H305" s="31"/>
      <c r="I305" s="32" t="s">
        <v>1016</v>
      </c>
      <c r="J305" s="32" t="b">
        <f t="shared" si="12"/>
        <v>0</v>
      </c>
      <c r="K305" s="31">
        <f t="shared" si="13"/>
        <v>0</v>
      </c>
      <c r="L305" s="33"/>
      <c r="M305" s="34"/>
    </row>
    <row r="306" spans="1:13" ht="34.5" customHeight="1" x14ac:dyDescent="0.25">
      <c r="A306" s="26" t="s">
        <v>411</v>
      </c>
      <c r="B306" s="101" t="s">
        <v>1314</v>
      </c>
      <c r="C306" s="27" t="s">
        <v>1123</v>
      </c>
      <c r="D306" s="28" t="s">
        <v>668</v>
      </c>
      <c r="E306" s="36">
        <v>2005242</v>
      </c>
      <c r="F306" s="36" t="s">
        <v>1315</v>
      </c>
      <c r="G306" s="30" t="s">
        <v>840</v>
      </c>
      <c r="H306" s="31"/>
      <c r="I306" s="32" t="s">
        <v>1016</v>
      </c>
      <c r="J306" s="32" t="b">
        <f t="shared" si="12"/>
        <v>0</v>
      </c>
      <c r="K306" s="31">
        <f t="shared" si="13"/>
        <v>0</v>
      </c>
      <c r="L306" s="33"/>
      <c r="M306" s="34"/>
    </row>
    <row r="307" spans="1:13" ht="34.5" customHeight="1" x14ac:dyDescent="0.25">
      <c r="A307" s="26" t="s">
        <v>412</v>
      </c>
      <c r="B307" s="101" t="s">
        <v>1314</v>
      </c>
      <c r="C307" s="27" t="s">
        <v>990</v>
      </c>
      <c r="D307" s="28" t="s">
        <v>668</v>
      </c>
      <c r="E307" s="36">
        <v>2005242</v>
      </c>
      <c r="F307" s="36" t="s">
        <v>1315</v>
      </c>
      <c r="G307" s="30" t="s">
        <v>840</v>
      </c>
      <c r="H307" s="31"/>
      <c r="I307" s="32" t="s">
        <v>1016</v>
      </c>
      <c r="J307" s="32" t="b">
        <f t="shared" si="12"/>
        <v>0</v>
      </c>
      <c r="K307" s="31">
        <f t="shared" si="13"/>
        <v>0</v>
      </c>
      <c r="L307" s="33"/>
      <c r="M307" s="34"/>
    </row>
    <row r="308" spans="1:13" ht="34.5" customHeight="1" x14ac:dyDescent="0.25">
      <c r="A308" s="26" t="s">
        <v>413</v>
      </c>
      <c r="B308" s="101" t="s">
        <v>1314</v>
      </c>
      <c r="C308" s="27" t="s">
        <v>1430</v>
      </c>
      <c r="D308" s="28" t="s">
        <v>668</v>
      </c>
      <c r="E308" s="36">
        <v>2005242</v>
      </c>
      <c r="F308" s="36" t="s">
        <v>1315</v>
      </c>
      <c r="G308" s="30" t="s">
        <v>840</v>
      </c>
      <c r="H308" s="31"/>
      <c r="I308" s="32" t="s">
        <v>1016</v>
      </c>
      <c r="J308" s="32" t="b">
        <f t="shared" si="12"/>
        <v>0</v>
      </c>
      <c r="K308" s="31">
        <f t="shared" si="13"/>
        <v>0</v>
      </c>
      <c r="L308" s="33"/>
      <c r="M308" s="34"/>
    </row>
    <row r="309" spans="1:13" ht="34.5" customHeight="1" x14ac:dyDescent="0.25">
      <c r="A309" s="26" t="s">
        <v>414</v>
      </c>
      <c r="B309" s="101" t="s">
        <v>1314</v>
      </c>
      <c r="C309" s="27" t="s">
        <v>1380</v>
      </c>
      <c r="D309" s="28" t="s">
        <v>1316</v>
      </c>
      <c r="E309" s="36">
        <v>2005328</v>
      </c>
      <c r="F309" s="36" t="s">
        <v>1340</v>
      </c>
      <c r="G309" s="30" t="s">
        <v>840</v>
      </c>
      <c r="H309" s="31"/>
      <c r="I309" s="32" t="s">
        <v>1016</v>
      </c>
      <c r="J309" s="32" t="b">
        <f t="shared" si="12"/>
        <v>0</v>
      </c>
      <c r="K309" s="31">
        <f t="shared" si="13"/>
        <v>0</v>
      </c>
      <c r="L309" s="33"/>
      <c r="M309" s="34"/>
    </row>
    <row r="310" spans="1:13" ht="34.5" customHeight="1" x14ac:dyDescent="0.25">
      <c r="A310" s="26" t="s">
        <v>415</v>
      </c>
      <c r="B310" s="101" t="s">
        <v>1314</v>
      </c>
      <c r="C310" s="27" t="s">
        <v>1380</v>
      </c>
      <c r="D310" s="28" t="s">
        <v>1316</v>
      </c>
      <c r="E310" s="36">
        <v>2005328</v>
      </c>
      <c r="F310" s="36" t="s">
        <v>1340</v>
      </c>
      <c r="G310" s="30" t="s">
        <v>840</v>
      </c>
      <c r="H310" s="31"/>
      <c r="I310" s="32" t="s">
        <v>1016</v>
      </c>
      <c r="J310" s="32" t="b">
        <f t="shared" si="12"/>
        <v>0</v>
      </c>
      <c r="K310" s="31">
        <f t="shared" si="13"/>
        <v>0</v>
      </c>
      <c r="L310" s="33"/>
      <c r="M310" s="34"/>
    </row>
    <row r="311" spans="1:13" ht="34.5" customHeight="1" x14ac:dyDescent="0.25">
      <c r="A311" s="26" t="s">
        <v>416</v>
      </c>
      <c r="B311" s="101" t="s">
        <v>1314</v>
      </c>
      <c r="C311" s="27" t="s">
        <v>1380</v>
      </c>
      <c r="D311" s="28" t="s">
        <v>1316</v>
      </c>
      <c r="E311" s="36">
        <v>2005328</v>
      </c>
      <c r="F311" s="36" t="s">
        <v>1340</v>
      </c>
      <c r="G311" s="30" t="s">
        <v>840</v>
      </c>
      <c r="H311" s="31"/>
      <c r="I311" s="32" t="s">
        <v>1016</v>
      </c>
      <c r="J311" s="32" t="b">
        <f t="shared" si="12"/>
        <v>0</v>
      </c>
      <c r="K311" s="31">
        <f t="shared" si="13"/>
        <v>0</v>
      </c>
      <c r="L311" s="33"/>
      <c r="M311" s="34"/>
    </row>
    <row r="312" spans="1:13" ht="34.5" customHeight="1" x14ac:dyDescent="0.25">
      <c r="A312" s="26" t="s">
        <v>417</v>
      </c>
      <c r="B312" s="101" t="s">
        <v>1314</v>
      </c>
      <c r="C312" s="27" t="s">
        <v>1380</v>
      </c>
      <c r="D312" s="28" t="s">
        <v>1316</v>
      </c>
      <c r="E312" s="36">
        <v>2005328</v>
      </c>
      <c r="F312" s="36" t="s">
        <v>1340</v>
      </c>
      <c r="G312" s="30" t="s">
        <v>840</v>
      </c>
      <c r="H312" s="31"/>
      <c r="I312" s="32" t="s">
        <v>1016</v>
      </c>
      <c r="J312" s="32" t="b">
        <f t="shared" si="12"/>
        <v>0</v>
      </c>
      <c r="K312" s="31">
        <f t="shared" si="13"/>
        <v>0</v>
      </c>
      <c r="L312" s="33"/>
      <c r="M312" s="34"/>
    </row>
    <row r="313" spans="1:13" ht="34.5" customHeight="1" x14ac:dyDescent="0.25">
      <c r="A313" s="26" t="s">
        <v>418</v>
      </c>
      <c r="B313" s="101" t="s">
        <v>1314</v>
      </c>
      <c r="C313" s="27" t="s">
        <v>1380</v>
      </c>
      <c r="D313" s="28" t="s">
        <v>1316</v>
      </c>
      <c r="E313" s="36">
        <v>2005328</v>
      </c>
      <c r="F313" s="36" t="s">
        <v>1340</v>
      </c>
      <c r="G313" s="30" t="s">
        <v>840</v>
      </c>
      <c r="H313" s="31"/>
      <c r="I313" s="32" t="s">
        <v>1016</v>
      </c>
      <c r="J313" s="32" t="b">
        <f t="shared" si="12"/>
        <v>0</v>
      </c>
      <c r="K313" s="31">
        <f t="shared" si="13"/>
        <v>0</v>
      </c>
      <c r="L313" s="33"/>
      <c r="M313" s="34"/>
    </row>
    <row r="314" spans="1:13" ht="34.5" customHeight="1" x14ac:dyDescent="0.25">
      <c r="A314" s="26" t="s">
        <v>419</v>
      </c>
      <c r="B314" s="101" t="s">
        <v>1314</v>
      </c>
      <c r="C314" s="27" t="s">
        <v>1380</v>
      </c>
      <c r="D314" s="28" t="s">
        <v>1316</v>
      </c>
      <c r="E314" s="36">
        <v>2005328</v>
      </c>
      <c r="F314" s="36" t="s">
        <v>1340</v>
      </c>
      <c r="G314" s="30" t="s">
        <v>840</v>
      </c>
      <c r="H314" s="31"/>
      <c r="I314" s="32" t="s">
        <v>1016</v>
      </c>
      <c r="J314" s="32" t="b">
        <f t="shared" si="12"/>
        <v>0</v>
      </c>
      <c r="K314" s="31">
        <f t="shared" si="13"/>
        <v>0</v>
      </c>
      <c r="L314" s="33"/>
      <c r="M314" s="34"/>
    </row>
    <row r="315" spans="1:13" ht="34.5" customHeight="1" x14ac:dyDescent="0.25">
      <c r="A315" s="26" t="s">
        <v>420</v>
      </c>
      <c r="B315" s="101" t="s">
        <v>1314</v>
      </c>
      <c r="C315" s="27" t="s">
        <v>1380</v>
      </c>
      <c r="D315" s="28" t="s">
        <v>1316</v>
      </c>
      <c r="E315" s="36">
        <v>2005328</v>
      </c>
      <c r="F315" s="36" t="s">
        <v>1340</v>
      </c>
      <c r="G315" s="30" t="s">
        <v>840</v>
      </c>
      <c r="H315" s="31"/>
      <c r="I315" s="32" t="s">
        <v>1016</v>
      </c>
      <c r="J315" s="32" t="b">
        <f t="shared" si="12"/>
        <v>0</v>
      </c>
      <c r="K315" s="31">
        <f t="shared" si="13"/>
        <v>0</v>
      </c>
      <c r="L315" s="33"/>
      <c r="M315" s="34"/>
    </row>
    <row r="316" spans="1:13" ht="34.5" customHeight="1" x14ac:dyDescent="0.25">
      <c r="A316" s="26" t="s">
        <v>421</v>
      </c>
      <c r="B316" s="101" t="s">
        <v>1314</v>
      </c>
      <c r="C316" s="27" t="s">
        <v>1380</v>
      </c>
      <c r="D316" s="28" t="s">
        <v>1316</v>
      </c>
      <c r="E316" s="36">
        <v>2005328</v>
      </c>
      <c r="F316" s="36" t="s">
        <v>1340</v>
      </c>
      <c r="G316" s="30" t="s">
        <v>840</v>
      </c>
      <c r="H316" s="31"/>
      <c r="I316" s="32" t="s">
        <v>1016</v>
      </c>
      <c r="J316" s="32" t="b">
        <f t="shared" si="12"/>
        <v>0</v>
      </c>
      <c r="K316" s="31">
        <f t="shared" si="13"/>
        <v>0</v>
      </c>
      <c r="L316" s="33"/>
      <c r="M316" s="34"/>
    </row>
    <row r="317" spans="1:13" ht="34.5" customHeight="1" x14ac:dyDescent="0.25">
      <c r="A317" s="26" t="s">
        <v>422</v>
      </c>
      <c r="B317" s="101" t="s">
        <v>1317</v>
      </c>
      <c r="C317" s="27" t="s">
        <v>1380</v>
      </c>
      <c r="D317" s="28" t="s">
        <v>1316</v>
      </c>
      <c r="E317" s="36" t="s">
        <v>1343</v>
      </c>
      <c r="F317" s="36" t="s">
        <v>634</v>
      </c>
      <c r="G317" s="30" t="s">
        <v>840</v>
      </c>
      <c r="H317" s="31"/>
      <c r="I317" s="32" t="s">
        <v>1016</v>
      </c>
      <c r="J317" s="32" t="b">
        <f t="shared" si="12"/>
        <v>0</v>
      </c>
      <c r="K317" s="31">
        <f t="shared" si="13"/>
        <v>0</v>
      </c>
      <c r="L317" s="33"/>
      <c r="M317" s="34"/>
    </row>
    <row r="318" spans="1:13" ht="34.5" customHeight="1" x14ac:dyDescent="0.25">
      <c r="A318" s="26" t="s">
        <v>423</v>
      </c>
      <c r="B318" s="101" t="s">
        <v>1318</v>
      </c>
      <c r="C318" s="27" t="s">
        <v>1380</v>
      </c>
      <c r="D318" s="28" t="s">
        <v>1316</v>
      </c>
      <c r="E318" s="36">
        <v>20038999</v>
      </c>
      <c r="F318" s="36" t="s">
        <v>1338</v>
      </c>
      <c r="G318" s="30" t="s">
        <v>840</v>
      </c>
      <c r="H318" s="31"/>
      <c r="I318" s="32" t="s">
        <v>1016</v>
      </c>
      <c r="J318" s="32" t="b">
        <f t="shared" si="12"/>
        <v>0</v>
      </c>
      <c r="K318" s="31">
        <f t="shared" si="13"/>
        <v>0</v>
      </c>
      <c r="L318" s="33"/>
      <c r="M318" s="34"/>
    </row>
    <row r="319" spans="1:13" ht="34.5" customHeight="1" x14ac:dyDescent="0.25">
      <c r="A319" s="26" t="s">
        <v>424</v>
      </c>
      <c r="B319" s="101" t="s">
        <v>1319</v>
      </c>
      <c r="C319" s="27" t="s">
        <v>1380</v>
      </c>
      <c r="D319" s="28" t="s">
        <v>1316</v>
      </c>
      <c r="E319" s="36" t="s">
        <v>1341</v>
      </c>
      <c r="F319" s="36" t="s">
        <v>1320</v>
      </c>
      <c r="G319" s="30" t="s">
        <v>840</v>
      </c>
      <c r="H319" s="31"/>
      <c r="I319" s="32" t="s">
        <v>1016</v>
      </c>
      <c r="J319" s="32" t="b">
        <f t="shared" si="12"/>
        <v>0</v>
      </c>
      <c r="K319" s="31">
        <f t="shared" si="13"/>
        <v>0</v>
      </c>
      <c r="L319" s="33"/>
      <c r="M319" s="34"/>
    </row>
    <row r="320" spans="1:13" ht="34.5" customHeight="1" x14ac:dyDescent="0.25">
      <c r="A320" s="26" t="s">
        <v>425</v>
      </c>
      <c r="B320" s="101" t="s">
        <v>1317</v>
      </c>
      <c r="C320" s="27" t="s">
        <v>1380</v>
      </c>
      <c r="D320" s="28" t="s">
        <v>1321</v>
      </c>
      <c r="E320" s="36" t="s">
        <v>1343</v>
      </c>
      <c r="F320" s="36" t="s">
        <v>634</v>
      </c>
      <c r="G320" s="30" t="s">
        <v>840</v>
      </c>
      <c r="H320" s="31"/>
      <c r="I320" s="32" t="s">
        <v>1016</v>
      </c>
      <c r="J320" s="32" t="b">
        <f t="shared" si="12"/>
        <v>0</v>
      </c>
      <c r="K320" s="31">
        <f t="shared" si="13"/>
        <v>0</v>
      </c>
      <c r="L320" s="33"/>
      <c r="M320" s="34"/>
    </row>
    <row r="321" spans="1:13" ht="34.5" customHeight="1" x14ac:dyDescent="0.25">
      <c r="A321" s="26" t="s">
        <v>426</v>
      </c>
      <c r="B321" s="101" t="s">
        <v>1319</v>
      </c>
      <c r="C321" s="27" t="s">
        <v>1380</v>
      </c>
      <c r="D321" s="28" t="s">
        <v>1321</v>
      </c>
      <c r="E321" s="36"/>
      <c r="F321" s="36" t="s">
        <v>790</v>
      </c>
      <c r="G321" s="30" t="s">
        <v>840</v>
      </c>
      <c r="H321" s="31"/>
      <c r="I321" s="32" t="s">
        <v>1016</v>
      </c>
      <c r="J321" s="32" t="b">
        <f t="shared" si="12"/>
        <v>0</v>
      </c>
      <c r="K321" s="31">
        <f t="shared" si="13"/>
        <v>0</v>
      </c>
      <c r="L321" s="33"/>
      <c r="M321" s="34"/>
    </row>
    <row r="322" spans="1:13" ht="34.5" customHeight="1" x14ac:dyDescent="0.25">
      <c r="A322" s="26" t="s">
        <v>427</v>
      </c>
      <c r="B322" s="101" t="s">
        <v>1314</v>
      </c>
      <c r="C322" s="27" t="s">
        <v>1380</v>
      </c>
      <c r="D322" s="28" t="s">
        <v>1322</v>
      </c>
      <c r="E322" s="36" t="s">
        <v>1337</v>
      </c>
      <c r="F322" s="36" t="s">
        <v>1339</v>
      </c>
      <c r="G322" s="30" t="s">
        <v>840</v>
      </c>
      <c r="H322" s="31"/>
      <c r="I322" s="32" t="s">
        <v>1016</v>
      </c>
      <c r="J322" s="32" t="b">
        <f t="shared" si="12"/>
        <v>0</v>
      </c>
      <c r="K322" s="31">
        <f t="shared" si="13"/>
        <v>0</v>
      </c>
      <c r="L322" s="33"/>
      <c r="M322" s="34"/>
    </row>
    <row r="323" spans="1:13" ht="34.5" customHeight="1" x14ac:dyDescent="0.25">
      <c r="A323" s="26" t="s">
        <v>428</v>
      </c>
      <c r="B323" s="101" t="s">
        <v>1314</v>
      </c>
      <c r="C323" s="27" t="s">
        <v>1380</v>
      </c>
      <c r="D323" s="28" t="s">
        <v>1322</v>
      </c>
      <c r="E323" s="36" t="s">
        <v>1337</v>
      </c>
      <c r="F323" s="36" t="s">
        <v>1339</v>
      </c>
      <c r="G323" s="30" t="s">
        <v>840</v>
      </c>
      <c r="H323" s="31"/>
      <c r="I323" s="32" t="s">
        <v>1016</v>
      </c>
      <c r="J323" s="32" t="b">
        <f t="shared" si="12"/>
        <v>0</v>
      </c>
      <c r="K323" s="31">
        <f t="shared" si="13"/>
        <v>0</v>
      </c>
      <c r="L323" s="33"/>
      <c r="M323" s="34"/>
    </row>
    <row r="324" spans="1:13" ht="34.5" customHeight="1" x14ac:dyDescent="0.25">
      <c r="A324" s="26" t="s">
        <v>429</v>
      </c>
      <c r="B324" s="101" t="s">
        <v>1314</v>
      </c>
      <c r="C324" s="27" t="s">
        <v>1380</v>
      </c>
      <c r="D324" s="28" t="s">
        <v>1322</v>
      </c>
      <c r="E324" s="36" t="s">
        <v>1337</v>
      </c>
      <c r="F324" s="36" t="s">
        <v>1339</v>
      </c>
      <c r="G324" s="30" t="s">
        <v>840</v>
      </c>
      <c r="H324" s="31"/>
      <c r="I324" s="32" t="s">
        <v>1016</v>
      </c>
      <c r="J324" s="32" t="b">
        <f t="shared" si="12"/>
        <v>0</v>
      </c>
      <c r="K324" s="31">
        <f t="shared" si="13"/>
        <v>0</v>
      </c>
      <c r="L324" s="33"/>
      <c r="M324" s="34"/>
    </row>
    <row r="325" spans="1:13" ht="34.5" customHeight="1" x14ac:dyDescent="0.25">
      <c r="A325" s="26" t="s">
        <v>430</v>
      </c>
      <c r="B325" s="101" t="s">
        <v>1314</v>
      </c>
      <c r="C325" s="27" t="s">
        <v>1380</v>
      </c>
      <c r="D325" s="28" t="s">
        <v>1322</v>
      </c>
      <c r="E325" s="36" t="s">
        <v>1337</v>
      </c>
      <c r="F325" s="36" t="s">
        <v>1339</v>
      </c>
      <c r="G325" s="30" t="s">
        <v>840</v>
      </c>
      <c r="H325" s="31"/>
      <c r="I325" s="32" t="s">
        <v>1016</v>
      </c>
      <c r="J325" s="32" t="b">
        <f t="shared" si="12"/>
        <v>0</v>
      </c>
      <c r="K325" s="31">
        <f t="shared" si="13"/>
        <v>0</v>
      </c>
      <c r="L325" s="33"/>
      <c r="M325" s="34"/>
    </row>
    <row r="326" spans="1:13" ht="34.5" customHeight="1" x14ac:dyDescent="0.25">
      <c r="A326" s="26" t="s">
        <v>431</v>
      </c>
      <c r="B326" s="101" t="s">
        <v>1314</v>
      </c>
      <c r="C326" s="27" t="s">
        <v>1380</v>
      </c>
      <c r="D326" s="28" t="s">
        <v>1322</v>
      </c>
      <c r="E326" s="36" t="s">
        <v>1337</v>
      </c>
      <c r="F326" s="36" t="s">
        <v>1339</v>
      </c>
      <c r="G326" s="30" t="s">
        <v>840</v>
      </c>
      <c r="H326" s="31"/>
      <c r="I326" s="32" t="s">
        <v>1016</v>
      </c>
      <c r="J326" s="32" t="b">
        <f t="shared" si="12"/>
        <v>0</v>
      </c>
      <c r="K326" s="31">
        <f t="shared" si="13"/>
        <v>0</v>
      </c>
      <c r="L326" s="33"/>
      <c r="M326" s="34"/>
    </row>
    <row r="327" spans="1:13" ht="34.5" customHeight="1" x14ac:dyDescent="0.25">
      <c r="A327" s="26" t="s">
        <v>432</v>
      </c>
      <c r="B327" s="101" t="s">
        <v>1314</v>
      </c>
      <c r="C327" s="27" t="s">
        <v>1380</v>
      </c>
      <c r="D327" s="28" t="s">
        <v>1322</v>
      </c>
      <c r="E327" s="36" t="s">
        <v>1337</v>
      </c>
      <c r="F327" s="36" t="s">
        <v>1339</v>
      </c>
      <c r="G327" s="30" t="s">
        <v>840</v>
      </c>
      <c r="H327" s="31"/>
      <c r="I327" s="32" t="s">
        <v>1016</v>
      </c>
      <c r="J327" s="32" t="b">
        <f t="shared" si="12"/>
        <v>0</v>
      </c>
      <c r="K327" s="31">
        <f t="shared" si="13"/>
        <v>0</v>
      </c>
      <c r="L327" s="33"/>
      <c r="M327" s="34"/>
    </row>
    <row r="328" spans="1:13" ht="34.5" customHeight="1" x14ac:dyDescent="0.25">
      <c r="A328" s="26" t="s">
        <v>433</v>
      </c>
      <c r="B328" s="101" t="s">
        <v>1314</v>
      </c>
      <c r="C328" s="27" t="s">
        <v>1380</v>
      </c>
      <c r="D328" s="28" t="s">
        <v>1322</v>
      </c>
      <c r="E328" s="36" t="s">
        <v>1337</v>
      </c>
      <c r="F328" s="36" t="s">
        <v>1339</v>
      </c>
      <c r="G328" s="30" t="s">
        <v>840</v>
      </c>
      <c r="H328" s="31"/>
      <c r="I328" s="32" t="s">
        <v>1016</v>
      </c>
      <c r="J328" s="32" t="b">
        <f t="shared" si="12"/>
        <v>0</v>
      </c>
      <c r="K328" s="31">
        <f t="shared" si="13"/>
        <v>0</v>
      </c>
      <c r="L328" s="33"/>
      <c r="M328" s="34"/>
    </row>
    <row r="329" spans="1:13" ht="34.5" customHeight="1" x14ac:dyDescent="0.25">
      <c r="A329" s="26" t="s">
        <v>434</v>
      </c>
      <c r="B329" s="101" t="s">
        <v>1314</v>
      </c>
      <c r="C329" s="27" t="s">
        <v>1380</v>
      </c>
      <c r="D329" s="28" t="s">
        <v>1322</v>
      </c>
      <c r="E329" s="36" t="s">
        <v>1337</v>
      </c>
      <c r="F329" s="36" t="s">
        <v>1339</v>
      </c>
      <c r="G329" s="30" t="s">
        <v>840</v>
      </c>
      <c r="H329" s="31"/>
      <c r="I329" s="32" t="s">
        <v>1016</v>
      </c>
      <c r="J329" s="32" t="b">
        <f t="shared" si="12"/>
        <v>0</v>
      </c>
      <c r="K329" s="31">
        <f t="shared" si="13"/>
        <v>0</v>
      </c>
      <c r="L329" s="33"/>
      <c r="M329" s="34"/>
    </row>
    <row r="330" spans="1:13" ht="34.5" customHeight="1" x14ac:dyDescent="0.25">
      <c r="A330" s="26" t="s">
        <v>435</v>
      </c>
      <c r="B330" s="101" t="s">
        <v>1317</v>
      </c>
      <c r="C330" s="27" t="s">
        <v>1380</v>
      </c>
      <c r="D330" s="28" t="s">
        <v>1322</v>
      </c>
      <c r="E330" s="36" t="s">
        <v>1343</v>
      </c>
      <c r="F330" s="36" t="s">
        <v>634</v>
      </c>
      <c r="G330" s="30" t="s">
        <v>840</v>
      </c>
      <c r="H330" s="31"/>
      <c r="I330" s="32" t="s">
        <v>1016</v>
      </c>
      <c r="J330" s="32" t="b">
        <f t="shared" si="12"/>
        <v>0</v>
      </c>
      <c r="K330" s="31">
        <f t="shared" si="13"/>
        <v>0</v>
      </c>
      <c r="L330" s="33"/>
      <c r="M330" s="34"/>
    </row>
    <row r="331" spans="1:13" ht="34.5" customHeight="1" x14ac:dyDescent="0.25">
      <c r="A331" s="26" t="s">
        <v>436</v>
      </c>
      <c r="B331" s="101" t="s">
        <v>1317</v>
      </c>
      <c r="C331" s="27" t="s">
        <v>1380</v>
      </c>
      <c r="D331" s="28" t="s">
        <v>1322</v>
      </c>
      <c r="E331" s="36" t="s">
        <v>1343</v>
      </c>
      <c r="F331" s="36" t="s">
        <v>634</v>
      </c>
      <c r="G331" s="30" t="s">
        <v>840</v>
      </c>
      <c r="H331" s="31"/>
      <c r="I331" s="32" t="s">
        <v>1016</v>
      </c>
      <c r="J331" s="32" t="b">
        <f t="shared" si="12"/>
        <v>0</v>
      </c>
      <c r="K331" s="31">
        <f t="shared" si="13"/>
        <v>0</v>
      </c>
      <c r="L331" s="33"/>
      <c r="M331" s="34"/>
    </row>
    <row r="332" spans="1:13" ht="34.5" customHeight="1" x14ac:dyDescent="0.25">
      <c r="A332" s="26" t="s">
        <v>437</v>
      </c>
      <c r="B332" s="101" t="s">
        <v>1317</v>
      </c>
      <c r="C332" s="27" t="s">
        <v>1380</v>
      </c>
      <c r="D332" s="28" t="s">
        <v>1322</v>
      </c>
      <c r="E332" s="36" t="s">
        <v>1343</v>
      </c>
      <c r="F332" s="36" t="s">
        <v>634</v>
      </c>
      <c r="G332" s="30" t="s">
        <v>840</v>
      </c>
      <c r="H332" s="31"/>
      <c r="I332" s="32" t="s">
        <v>1016</v>
      </c>
      <c r="J332" s="32" t="b">
        <f t="shared" si="12"/>
        <v>0</v>
      </c>
      <c r="K332" s="31">
        <f t="shared" si="13"/>
        <v>0</v>
      </c>
      <c r="L332" s="33"/>
      <c r="M332" s="34"/>
    </row>
    <row r="333" spans="1:13" ht="34.5" customHeight="1" x14ac:dyDescent="0.25">
      <c r="A333" s="26" t="s">
        <v>438</v>
      </c>
      <c r="B333" s="101" t="s">
        <v>1318</v>
      </c>
      <c r="C333" s="27" t="s">
        <v>1380</v>
      </c>
      <c r="D333" s="28" t="s">
        <v>1322</v>
      </c>
      <c r="E333" s="36">
        <v>8720389055546</v>
      </c>
      <c r="F333" s="36" t="s">
        <v>654</v>
      </c>
      <c r="G333" s="30" t="s">
        <v>840</v>
      </c>
      <c r="H333" s="31"/>
      <c r="I333" s="32" t="s">
        <v>1016</v>
      </c>
      <c r="J333" s="32" t="b">
        <f t="shared" ref="J333:J396" si="14">IF(I333="b","0,6",IF(I333="r","0,2",IF(I333="o",0.8)))</f>
        <v>0</v>
      </c>
      <c r="K333" s="31">
        <f t="shared" si="13"/>
        <v>0</v>
      </c>
      <c r="L333" s="33"/>
      <c r="M333" s="34"/>
    </row>
    <row r="334" spans="1:13" ht="34.5" customHeight="1" x14ac:dyDescent="0.25">
      <c r="A334" s="26" t="s">
        <v>439</v>
      </c>
      <c r="B334" s="101" t="s">
        <v>1323</v>
      </c>
      <c r="C334" s="27" t="s">
        <v>1380</v>
      </c>
      <c r="D334" s="28" t="s">
        <v>1322</v>
      </c>
      <c r="E334" s="36" t="s">
        <v>1324</v>
      </c>
      <c r="F334" s="36" t="s">
        <v>1325</v>
      </c>
      <c r="G334" s="30" t="s">
        <v>840</v>
      </c>
      <c r="H334" s="31"/>
      <c r="I334" s="32" t="s">
        <v>1016</v>
      </c>
      <c r="J334" s="32" t="b">
        <f t="shared" si="14"/>
        <v>0</v>
      </c>
      <c r="K334" s="31">
        <f t="shared" si="13"/>
        <v>0</v>
      </c>
      <c r="L334" s="33"/>
      <c r="M334" s="34"/>
    </row>
    <row r="335" spans="1:13" ht="34.5" customHeight="1" x14ac:dyDescent="0.25">
      <c r="A335" s="26" t="s">
        <v>440</v>
      </c>
      <c r="B335" s="101" t="s">
        <v>1319</v>
      </c>
      <c r="C335" s="27" t="s">
        <v>1380</v>
      </c>
      <c r="D335" s="28" t="s">
        <v>1322</v>
      </c>
      <c r="E335" s="36" t="s">
        <v>1342</v>
      </c>
      <c r="F335" s="36" t="s">
        <v>1326</v>
      </c>
      <c r="G335" s="30" t="s">
        <v>840</v>
      </c>
      <c r="H335" s="31"/>
      <c r="I335" s="32" t="s">
        <v>1016</v>
      </c>
      <c r="J335" s="32" t="b">
        <f t="shared" si="14"/>
        <v>0</v>
      </c>
      <c r="K335" s="31">
        <f t="shared" si="13"/>
        <v>0</v>
      </c>
      <c r="L335" s="33"/>
      <c r="M335" s="34"/>
    </row>
    <row r="336" spans="1:13" ht="34.5" customHeight="1" x14ac:dyDescent="0.25">
      <c r="A336" s="26" t="s">
        <v>441</v>
      </c>
      <c r="B336" s="101" t="s">
        <v>1314</v>
      </c>
      <c r="C336" s="27" t="s">
        <v>1380</v>
      </c>
      <c r="D336" s="28" t="s">
        <v>1327</v>
      </c>
      <c r="E336" s="36">
        <v>2005242</v>
      </c>
      <c r="F336" s="36" t="s">
        <v>1315</v>
      </c>
      <c r="G336" s="30" t="s">
        <v>840</v>
      </c>
      <c r="H336" s="31"/>
      <c r="I336" s="32" t="s">
        <v>1016</v>
      </c>
      <c r="J336" s="32" t="b">
        <f t="shared" si="14"/>
        <v>0</v>
      </c>
      <c r="K336" s="31">
        <f t="shared" si="13"/>
        <v>0</v>
      </c>
      <c r="L336" s="33"/>
      <c r="M336" s="34"/>
    </row>
    <row r="337" spans="1:13" ht="34.5" customHeight="1" x14ac:dyDescent="0.25">
      <c r="A337" s="26" t="s">
        <v>442</v>
      </c>
      <c r="B337" s="101" t="s">
        <v>1314</v>
      </c>
      <c r="C337" s="27" t="s">
        <v>736</v>
      </c>
      <c r="D337" s="28" t="s">
        <v>1327</v>
      </c>
      <c r="E337" s="36">
        <v>2005242</v>
      </c>
      <c r="F337" s="36" t="s">
        <v>1315</v>
      </c>
      <c r="G337" s="30" t="s">
        <v>840</v>
      </c>
      <c r="H337" s="31"/>
      <c r="I337" s="32" t="s">
        <v>1016</v>
      </c>
      <c r="J337" s="32" t="b">
        <f t="shared" si="14"/>
        <v>0</v>
      </c>
      <c r="K337" s="31">
        <f t="shared" si="13"/>
        <v>0</v>
      </c>
      <c r="L337" s="33"/>
      <c r="M337" s="34"/>
    </row>
    <row r="338" spans="1:13" ht="34.5" customHeight="1" x14ac:dyDescent="0.25">
      <c r="A338" s="26" t="s">
        <v>443</v>
      </c>
      <c r="B338" s="101" t="s">
        <v>1314</v>
      </c>
      <c r="C338" s="27" t="s">
        <v>721</v>
      </c>
      <c r="D338" s="28" t="s">
        <v>1327</v>
      </c>
      <c r="E338" s="36">
        <v>2005242</v>
      </c>
      <c r="F338" s="36" t="s">
        <v>1315</v>
      </c>
      <c r="G338" s="30" t="s">
        <v>840</v>
      </c>
      <c r="H338" s="31"/>
      <c r="I338" s="32" t="s">
        <v>1016</v>
      </c>
      <c r="J338" s="32" t="b">
        <f t="shared" si="14"/>
        <v>0</v>
      </c>
      <c r="K338" s="31">
        <f t="shared" si="13"/>
        <v>0</v>
      </c>
      <c r="L338" s="33"/>
      <c r="M338" s="34"/>
    </row>
    <row r="339" spans="1:13" ht="34.5" customHeight="1" x14ac:dyDescent="0.25">
      <c r="A339" s="26" t="s">
        <v>444</v>
      </c>
      <c r="B339" s="101" t="s">
        <v>1314</v>
      </c>
      <c r="C339" s="27" t="s">
        <v>906</v>
      </c>
      <c r="D339" s="28" t="s">
        <v>1327</v>
      </c>
      <c r="E339" s="36">
        <v>2005242</v>
      </c>
      <c r="F339" s="36" t="s">
        <v>1315</v>
      </c>
      <c r="G339" s="30" t="s">
        <v>840</v>
      </c>
      <c r="H339" s="31"/>
      <c r="I339" s="32" t="s">
        <v>1016</v>
      </c>
      <c r="J339" s="32" t="b">
        <f t="shared" si="14"/>
        <v>0</v>
      </c>
      <c r="K339" s="31">
        <f t="shared" si="13"/>
        <v>0</v>
      </c>
      <c r="L339" s="33"/>
      <c r="M339" s="34"/>
    </row>
    <row r="340" spans="1:13" ht="34.5" customHeight="1" x14ac:dyDescent="0.25">
      <c r="A340" s="26" t="s">
        <v>445</v>
      </c>
      <c r="B340" s="101" t="s">
        <v>1314</v>
      </c>
      <c r="C340" s="27" t="s">
        <v>1380</v>
      </c>
      <c r="D340" s="28" t="s">
        <v>1327</v>
      </c>
      <c r="E340" s="36">
        <v>2005242</v>
      </c>
      <c r="F340" s="36" t="s">
        <v>1315</v>
      </c>
      <c r="G340" s="30" t="s">
        <v>840</v>
      </c>
      <c r="H340" s="31"/>
      <c r="I340" s="32" t="s">
        <v>1016</v>
      </c>
      <c r="J340" s="32" t="b">
        <f t="shared" si="14"/>
        <v>0</v>
      </c>
      <c r="K340" s="31">
        <f t="shared" ref="K340:K403" si="15">J340*H340</f>
        <v>0</v>
      </c>
      <c r="L340" s="33"/>
      <c r="M340" s="34"/>
    </row>
    <row r="341" spans="1:13" ht="34.5" customHeight="1" x14ac:dyDescent="0.25">
      <c r="A341" s="26" t="s">
        <v>446</v>
      </c>
      <c r="B341" s="101" t="s">
        <v>1314</v>
      </c>
      <c r="C341" s="27" t="s">
        <v>773</v>
      </c>
      <c r="D341" s="28" t="s">
        <v>1327</v>
      </c>
      <c r="E341" s="36">
        <v>2005242</v>
      </c>
      <c r="F341" s="36" t="s">
        <v>1315</v>
      </c>
      <c r="G341" s="30" t="s">
        <v>840</v>
      </c>
      <c r="H341" s="31"/>
      <c r="I341" s="32" t="s">
        <v>1016</v>
      </c>
      <c r="J341" s="32" t="b">
        <f t="shared" si="14"/>
        <v>0</v>
      </c>
      <c r="K341" s="31">
        <f t="shared" si="15"/>
        <v>0</v>
      </c>
      <c r="L341" s="33"/>
      <c r="M341" s="34"/>
    </row>
    <row r="342" spans="1:13" ht="34.5" customHeight="1" x14ac:dyDescent="0.25">
      <c r="A342" s="26" t="s">
        <v>447</v>
      </c>
      <c r="B342" s="101" t="s">
        <v>1314</v>
      </c>
      <c r="C342" s="27" t="s">
        <v>978</v>
      </c>
      <c r="D342" s="28" t="s">
        <v>1327</v>
      </c>
      <c r="E342" s="36">
        <v>2005242</v>
      </c>
      <c r="F342" s="36" t="s">
        <v>1315</v>
      </c>
      <c r="G342" s="30" t="s">
        <v>840</v>
      </c>
      <c r="H342" s="31"/>
      <c r="I342" s="32" t="s">
        <v>1016</v>
      </c>
      <c r="J342" s="32" t="b">
        <f t="shared" si="14"/>
        <v>0</v>
      </c>
      <c r="K342" s="31">
        <f t="shared" si="15"/>
        <v>0</v>
      </c>
      <c r="L342" s="33"/>
      <c r="M342" s="34"/>
    </row>
    <row r="343" spans="1:13" ht="34.5" customHeight="1" x14ac:dyDescent="0.25">
      <c r="A343" s="26" t="s">
        <v>448</v>
      </c>
      <c r="B343" s="101" t="s">
        <v>1314</v>
      </c>
      <c r="C343" s="27" t="s">
        <v>830</v>
      </c>
      <c r="D343" s="28" t="s">
        <v>1327</v>
      </c>
      <c r="E343" s="36">
        <v>2005242</v>
      </c>
      <c r="F343" s="36" t="s">
        <v>1315</v>
      </c>
      <c r="G343" s="30" t="s">
        <v>840</v>
      </c>
      <c r="H343" s="31"/>
      <c r="I343" s="32" t="s">
        <v>1016</v>
      </c>
      <c r="J343" s="32" t="b">
        <f t="shared" si="14"/>
        <v>0</v>
      </c>
      <c r="K343" s="31">
        <f t="shared" si="15"/>
        <v>0</v>
      </c>
      <c r="L343" s="33"/>
      <c r="M343" s="34"/>
    </row>
    <row r="344" spans="1:13" ht="34.5" customHeight="1" x14ac:dyDescent="0.25">
      <c r="A344" s="26" t="s">
        <v>449</v>
      </c>
      <c r="B344" s="101" t="s">
        <v>708</v>
      </c>
      <c r="C344" s="27" t="s">
        <v>1380</v>
      </c>
      <c r="D344" s="28" t="s">
        <v>1327</v>
      </c>
      <c r="E344" s="36" t="s">
        <v>1329</v>
      </c>
      <c r="F344" s="36" t="s">
        <v>1328</v>
      </c>
      <c r="G344" s="30" t="s">
        <v>840</v>
      </c>
      <c r="H344" s="31"/>
      <c r="I344" s="32" t="s">
        <v>1016</v>
      </c>
      <c r="J344" s="32" t="b">
        <f t="shared" si="14"/>
        <v>0</v>
      </c>
      <c r="K344" s="31">
        <f t="shared" si="15"/>
        <v>0</v>
      </c>
      <c r="L344" s="33"/>
      <c r="M344" s="34"/>
    </row>
    <row r="345" spans="1:13" ht="34.5" customHeight="1" x14ac:dyDescent="0.25">
      <c r="A345" s="26" t="s">
        <v>450</v>
      </c>
      <c r="B345" s="101" t="s">
        <v>708</v>
      </c>
      <c r="C345" s="27" t="s">
        <v>1380</v>
      </c>
      <c r="D345" s="28" t="s">
        <v>1327</v>
      </c>
      <c r="E345" s="36" t="s">
        <v>1329</v>
      </c>
      <c r="F345" s="36" t="s">
        <v>1328</v>
      </c>
      <c r="G345" s="30" t="s">
        <v>840</v>
      </c>
      <c r="H345" s="31"/>
      <c r="I345" s="32" t="s">
        <v>1016</v>
      </c>
      <c r="J345" s="32" t="b">
        <f t="shared" si="14"/>
        <v>0</v>
      </c>
      <c r="K345" s="31">
        <f t="shared" si="15"/>
        <v>0</v>
      </c>
      <c r="L345" s="33"/>
      <c r="M345" s="34"/>
    </row>
    <row r="346" spans="1:13" ht="34.5" customHeight="1" x14ac:dyDescent="0.25">
      <c r="A346" s="26" t="s">
        <v>451</v>
      </c>
      <c r="B346" s="101" t="s">
        <v>708</v>
      </c>
      <c r="C346" s="27" t="s">
        <v>830</v>
      </c>
      <c r="D346" s="28" t="s">
        <v>1327</v>
      </c>
      <c r="E346" s="36" t="s">
        <v>1329</v>
      </c>
      <c r="F346" s="36" t="s">
        <v>1328</v>
      </c>
      <c r="G346" s="30" t="s">
        <v>840</v>
      </c>
      <c r="H346" s="31"/>
      <c r="I346" s="32" t="s">
        <v>1016</v>
      </c>
      <c r="J346" s="32" t="b">
        <f t="shared" si="14"/>
        <v>0</v>
      </c>
      <c r="K346" s="31">
        <f t="shared" si="15"/>
        <v>0</v>
      </c>
      <c r="L346" s="33"/>
      <c r="M346" s="34"/>
    </row>
    <row r="347" spans="1:13" ht="34.5" customHeight="1" x14ac:dyDescent="0.25">
      <c r="A347" s="26" t="s">
        <v>452</v>
      </c>
      <c r="B347" s="101" t="s">
        <v>630</v>
      </c>
      <c r="C347" s="27" t="s">
        <v>830</v>
      </c>
      <c r="D347" s="28" t="s">
        <v>1327</v>
      </c>
      <c r="E347" s="36" t="s">
        <v>1329</v>
      </c>
      <c r="F347" s="36" t="s">
        <v>1328</v>
      </c>
      <c r="G347" s="30" t="s">
        <v>840</v>
      </c>
      <c r="H347" s="31"/>
      <c r="I347" s="32" t="s">
        <v>1016</v>
      </c>
      <c r="J347" s="32" t="b">
        <f t="shared" si="14"/>
        <v>0</v>
      </c>
      <c r="K347" s="31">
        <f t="shared" si="15"/>
        <v>0</v>
      </c>
      <c r="L347" s="33"/>
      <c r="M347" s="34"/>
    </row>
    <row r="348" spans="1:13" ht="34.5" customHeight="1" x14ac:dyDescent="0.25">
      <c r="A348" s="26" t="s">
        <v>453</v>
      </c>
      <c r="B348" s="101" t="s">
        <v>630</v>
      </c>
      <c r="C348" s="27" t="s">
        <v>1380</v>
      </c>
      <c r="D348" s="28" t="s">
        <v>1327</v>
      </c>
      <c r="E348" s="36" t="s">
        <v>1329</v>
      </c>
      <c r="F348" s="36" t="s">
        <v>1328</v>
      </c>
      <c r="G348" s="30" t="s">
        <v>840</v>
      </c>
      <c r="H348" s="31"/>
      <c r="I348" s="32" t="s">
        <v>1016</v>
      </c>
      <c r="J348" s="32" t="b">
        <f t="shared" si="14"/>
        <v>0</v>
      </c>
      <c r="K348" s="31">
        <f t="shared" si="15"/>
        <v>0</v>
      </c>
      <c r="L348" s="33"/>
      <c r="M348" s="34"/>
    </row>
    <row r="349" spans="1:13" ht="34.5" customHeight="1" x14ac:dyDescent="0.25">
      <c r="A349" s="26" t="s">
        <v>454</v>
      </c>
      <c r="B349" s="101" t="s">
        <v>630</v>
      </c>
      <c r="C349" s="27" t="s">
        <v>1380</v>
      </c>
      <c r="D349" s="28" t="s">
        <v>1327</v>
      </c>
      <c r="E349" s="36" t="s">
        <v>1329</v>
      </c>
      <c r="F349" s="36" t="s">
        <v>1328</v>
      </c>
      <c r="G349" s="30" t="s">
        <v>840</v>
      </c>
      <c r="H349" s="31"/>
      <c r="I349" s="32" t="s">
        <v>1016</v>
      </c>
      <c r="J349" s="32" t="b">
        <f t="shared" si="14"/>
        <v>0</v>
      </c>
      <c r="K349" s="31">
        <f t="shared" si="15"/>
        <v>0</v>
      </c>
      <c r="L349" s="33"/>
      <c r="M349" s="34"/>
    </row>
    <row r="350" spans="1:13" ht="34.5" customHeight="1" x14ac:dyDescent="0.25">
      <c r="A350" s="26" t="s">
        <v>455</v>
      </c>
      <c r="B350" s="101" t="s">
        <v>630</v>
      </c>
      <c r="C350" s="27" t="s">
        <v>773</v>
      </c>
      <c r="D350" s="28" t="s">
        <v>1327</v>
      </c>
      <c r="E350" s="36" t="s">
        <v>1329</v>
      </c>
      <c r="F350" s="36" t="s">
        <v>1328</v>
      </c>
      <c r="G350" s="30" t="s">
        <v>840</v>
      </c>
      <c r="H350" s="31"/>
      <c r="I350" s="32" t="s">
        <v>1016</v>
      </c>
      <c r="J350" s="32" t="b">
        <f t="shared" si="14"/>
        <v>0</v>
      </c>
      <c r="K350" s="31">
        <f t="shared" si="15"/>
        <v>0</v>
      </c>
      <c r="L350" s="33"/>
      <c r="M350" s="34"/>
    </row>
    <row r="351" spans="1:13" ht="34.5" customHeight="1" x14ac:dyDescent="0.25">
      <c r="A351" s="26" t="s">
        <v>456</v>
      </c>
      <c r="B351" s="101" t="s">
        <v>630</v>
      </c>
      <c r="C351" s="27" t="s">
        <v>773</v>
      </c>
      <c r="D351" s="28" t="s">
        <v>1327</v>
      </c>
      <c r="E351" s="36" t="s">
        <v>1329</v>
      </c>
      <c r="F351" s="36" t="s">
        <v>1328</v>
      </c>
      <c r="G351" s="30" t="s">
        <v>840</v>
      </c>
      <c r="H351" s="31"/>
      <c r="I351" s="32" t="s">
        <v>1016</v>
      </c>
      <c r="J351" s="32" t="b">
        <f t="shared" si="14"/>
        <v>0</v>
      </c>
      <c r="K351" s="31">
        <f t="shared" si="15"/>
        <v>0</v>
      </c>
      <c r="L351" s="33"/>
      <c r="M351" s="34"/>
    </row>
    <row r="352" spans="1:13" ht="34.5" customHeight="1" x14ac:dyDescent="0.25">
      <c r="A352" s="26" t="s">
        <v>457</v>
      </c>
      <c r="B352" s="101" t="s">
        <v>630</v>
      </c>
      <c r="C352" s="27" t="s">
        <v>978</v>
      </c>
      <c r="D352" s="28" t="s">
        <v>1327</v>
      </c>
      <c r="E352" s="36" t="s">
        <v>1329</v>
      </c>
      <c r="F352" s="36" t="s">
        <v>1328</v>
      </c>
      <c r="G352" s="30" t="s">
        <v>840</v>
      </c>
      <c r="H352" s="31"/>
      <c r="I352" s="32" t="s">
        <v>1016</v>
      </c>
      <c r="J352" s="32" t="b">
        <f t="shared" si="14"/>
        <v>0</v>
      </c>
      <c r="K352" s="31">
        <f t="shared" si="15"/>
        <v>0</v>
      </c>
      <c r="L352" s="33"/>
      <c r="M352" s="34"/>
    </row>
    <row r="353" spans="1:13" ht="34.5" customHeight="1" x14ac:dyDescent="0.25">
      <c r="A353" s="26" t="s">
        <v>458</v>
      </c>
      <c r="B353" s="101" t="s">
        <v>630</v>
      </c>
      <c r="C353" s="27" t="s">
        <v>978</v>
      </c>
      <c r="D353" s="28" t="s">
        <v>1327</v>
      </c>
      <c r="E353" s="36" t="s">
        <v>1329</v>
      </c>
      <c r="F353" s="36" t="s">
        <v>1328</v>
      </c>
      <c r="G353" s="30" t="s">
        <v>840</v>
      </c>
      <c r="H353" s="31"/>
      <c r="I353" s="32" t="s">
        <v>1016</v>
      </c>
      <c r="J353" s="32" t="b">
        <f t="shared" si="14"/>
        <v>0</v>
      </c>
      <c r="K353" s="31">
        <f t="shared" si="15"/>
        <v>0</v>
      </c>
      <c r="L353" s="33"/>
      <c r="M353" s="34"/>
    </row>
    <row r="354" spans="1:13" ht="34.5" customHeight="1" x14ac:dyDescent="0.25">
      <c r="A354" s="26" t="s">
        <v>459</v>
      </c>
      <c r="B354" s="101" t="s">
        <v>1330</v>
      </c>
      <c r="C354" s="27" t="s">
        <v>721</v>
      </c>
      <c r="D354" s="28" t="s">
        <v>1327</v>
      </c>
      <c r="E354" s="36" t="s">
        <v>1331</v>
      </c>
      <c r="F354" s="36" t="s">
        <v>1211</v>
      </c>
      <c r="G354" s="30" t="s">
        <v>840</v>
      </c>
      <c r="H354" s="31"/>
      <c r="I354" s="32" t="s">
        <v>1016</v>
      </c>
      <c r="J354" s="32" t="b">
        <f t="shared" si="14"/>
        <v>0</v>
      </c>
      <c r="K354" s="31">
        <f t="shared" si="15"/>
        <v>0</v>
      </c>
      <c r="L354" s="33"/>
      <c r="M354" s="34"/>
    </row>
    <row r="355" spans="1:13" ht="34.5" customHeight="1" x14ac:dyDescent="0.25">
      <c r="A355" s="26" t="s">
        <v>460</v>
      </c>
      <c r="B355" s="101" t="s">
        <v>1317</v>
      </c>
      <c r="C355" s="27" t="s">
        <v>1380</v>
      </c>
      <c r="D355" s="28" t="s">
        <v>1327</v>
      </c>
      <c r="E355" s="36" t="s">
        <v>1343</v>
      </c>
      <c r="F355" s="36" t="s">
        <v>634</v>
      </c>
      <c r="G355" s="30" t="s">
        <v>840</v>
      </c>
      <c r="H355" s="31"/>
      <c r="I355" s="32" t="s">
        <v>1016</v>
      </c>
      <c r="J355" s="32" t="b">
        <f t="shared" si="14"/>
        <v>0</v>
      </c>
      <c r="K355" s="31">
        <f t="shared" si="15"/>
        <v>0</v>
      </c>
      <c r="L355" s="33"/>
      <c r="M355" s="34"/>
    </row>
    <row r="356" spans="1:13" ht="34.5" customHeight="1" x14ac:dyDescent="0.25">
      <c r="A356" s="26" t="s">
        <v>461</v>
      </c>
      <c r="B356" s="101" t="s">
        <v>1333</v>
      </c>
      <c r="C356" s="27" t="s">
        <v>906</v>
      </c>
      <c r="D356" s="28" t="s">
        <v>1327</v>
      </c>
      <c r="E356" s="36" t="s">
        <v>1332</v>
      </c>
      <c r="F356" s="36" t="s">
        <v>1211</v>
      </c>
      <c r="G356" s="30" t="s">
        <v>840</v>
      </c>
      <c r="H356" s="31"/>
      <c r="I356" s="32" t="s">
        <v>1016</v>
      </c>
      <c r="J356" s="32" t="b">
        <f t="shared" si="14"/>
        <v>0</v>
      </c>
      <c r="K356" s="31">
        <f t="shared" si="15"/>
        <v>0</v>
      </c>
      <c r="L356" s="33"/>
      <c r="M356" s="34"/>
    </row>
    <row r="357" spans="1:13" ht="34.5" customHeight="1" x14ac:dyDescent="0.25">
      <c r="A357" s="26" t="s">
        <v>462</v>
      </c>
      <c r="B357" s="101" t="s">
        <v>1334</v>
      </c>
      <c r="C357" s="27" t="s">
        <v>1380</v>
      </c>
      <c r="D357" s="28" t="s">
        <v>1327</v>
      </c>
      <c r="E357" s="36"/>
      <c r="F357" s="36" t="s">
        <v>1335</v>
      </c>
      <c r="G357" s="30" t="s">
        <v>840</v>
      </c>
      <c r="H357" s="31"/>
      <c r="I357" s="32" t="s">
        <v>1102</v>
      </c>
      <c r="J357" s="32" t="b">
        <f t="shared" si="14"/>
        <v>0</v>
      </c>
      <c r="K357" s="31">
        <f t="shared" si="15"/>
        <v>0</v>
      </c>
      <c r="L357" s="33"/>
      <c r="M357" s="34"/>
    </row>
    <row r="358" spans="1:13" ht="34.5" customHeight="1" x14ac:dyDescent="0.25">
      <c r="A358" s="26" t="s">
        <v>463</v>
      </c>
      <c r="B358" s="101" t="s">
        <v>1314</v>
      </c>
      <c r="C358" s="27" t="s">
        <v>1380</v>
      </c>
      <c r="D358" s="28" t="s">
        <v>1299</v>
      </c>
      <c r="E358" s="36">
        <v>2005242</v>
      </c>
      <c r="F358" s="36" t="s">
        <v>1315</v>
      </c>
      <c r="G358" s="30" t="s">
        <v>840</v>
      </c>
      <c r="H358" s="31"/>
      <c r="I358" s="32" t="s">
        <v>1016</v>
      </c>
      <c r="J358" s="32" t="b">
        <f t="shared" si="14"/>
        <v>0</v>
      </c>
      <c r="K358" s="31">
        <f t="shared" si="15"/>
        <v>0</v>
      </c>
      <c r="L358" s="33"/>
      <c r="M358" s="34"/>
    </row>
    <row r="359" spans="1:13" ht="34.5" customHeight="1" x14ac:dyDescent="0.25">
      <c r="A359" s="26" t="s">
        <v>464</v>
      </c>
      <c r="B359" s="101" t="s">
        <v>1314</v>
      </c>
      <c r="C359" s="27" t="s">
        <v>631</v>
      </c>
      <c r="D359" s="28" t="s">
        <v>1299</v>
      </c>
      <c r="E359" s="36">
        <v>2005242</v>
      </c>
      <c r="F359" s="36" t="s">
        <v>1315</v>
      </c>
      <c r="G359" s="30" t="s">
        <v>840</v>
      </c>
      <c r="H359" s="31"/>
      <c r="I359" s="32" t="s">
        <v>1016</v>
      </c>
      <c r="J359" s="32" t="b">
        <f t="shared" si="14"/>
        <v>0</v>
      </c>
      <c r="K359" s="31">
        <f t="shared" si="15"/>
        <v>0</v>
      </c>
      <c r="L359" s="33"/>
      <c r="M359" s="34"/>
    </row>
    <row r="360" spans="1:13" ht="34.5" customHeight="1" x14ac:dyDescent="0.25">
      <c r="A360" s="26" t="s">
        <v>465</v>
      </c>
      <c r="B360" s="101" t="s">
        <v>1314</v>
      </c>
      <c r="C360" s="27" t="s">
        <v>1411</v>
      </c>
      <c r="D360" s="28" t="s">
        <v>1299</v>
      </c>
      <c r="E360" s="36">
        <v>2005242</v>
      </c>
      <c r="F360" s="36" t="s">
        <v>1315</v>
      </c>
      <c r="G360" s="30" t="s">
        <v>840</v>
      </c>
      <c r="H360" s="31"/>
      <c r="I360" s="32" t="s">
        <v>1016</v>
      </c>
      <c r="J360" s="32" t="b">
        <f t="shared" si="14"/>
        <v>0</v>
      </c>
      <c r="K360" s="31">
        <f t="shared" si="15"/>
        <v>0</v>
      </c>
      <c r="L360" s="33"/>
      <c r="M360" s="34"/>
    </row>
    <row r="361" spans="1:13" ht="34.5" customHeight="1" x14ac:dyDescent="0.25">
      <c r="A361" s="26" t="s">
        <v>466</v>
      </c>
      <c r="B361" s="101" t="s">
        <v>1314</v>
      </c>
      <c r="C361" s="27" t="s">
        <v>1410</v>
      </c>
      <c r="D361" s="28" t="s">
        <v>1299</v>
      </c>
      <c r="E361" s="36">
        <v>2005242</v>
      </c>
      <c r="F361" s="36" t="s">
        <v>1315</v>
      </c>
      <c r="G361" s="30" t="s">
        <v>840</v>
      </c>
      <c r="H361" s="31"/>
      <c r="I361" s="32" t="s">
        <v>1016</v>
      </c>
      <c r="J361" s="32" t="b">
        <f t="shared" si="14"/>
        <v>0</v>
      </c>
      <c r="K361" s="31">
        <f t="shared" si="15"/>
        <v>0</v>
      </c>
      <c r="L361" s="33"/>
      <c r="M361" s="34"/>
    </row>
    <row r="362" spans="1:13" ht="34.5" customHeight="1" x14ac:dyDescent="0.25">
      <c r="A362" s="26" t="s">
        <v>467</v>
      </c>
      <c r="B362" s="101" t="s">
        <v>1314</v>
      </c>
      <c r="C362" s="27" t="s">
        <v>1122</v>
      </c>
      <c r="D362" s="28" t="s">
        <v>1299</v>
      </c>
      <c r="E362" s="36">
        <v>2005242</v>
      </c>
      <c r="F362" s="36" t="s">
        <v>1315</v>
      </c>
      <c r="G362" s="30" t="s">
        <v>840</v>
      </c>
      <c r="H362" s="31"/>
      <c r="I362" s="32" t="s">
        <v>1016</v>
      </c>
      <c r="J362" s="32" t="b">
        <f t="shared" si="14"/>
        <v>0</v>
      </c>
      <c r="K362" s="31">
        <f t="shared" si="15"/>
        <v>0</v>
      </c>
      <c r="L362" s="33"/>
      <c r="M362" s="34"/>
    </row>
    <row r="363" spans="1:13" ht="34.5" customHeight="1" x14ac:dyDescent="0.25">
      <c r="A363" s="26" t="s">
        <v>468</v>
      </c>
      <c r="B363" s="101" t="s">
        <v>1314</v>
      </c>
      <c r="C363" s="27" t="s">
        <v>653</v>
      </c>
      <c r="D363" s="28" t="s">
        <v>1299</v>
      </c>
      <c r="E363" s="36">
        <v>2005242</v>
      </c>
      <c r="F363" s="36" t="s">
        <v>1315</v>
      </c>
      <c r="G363" s="30" t="s">
        <v>840</v>
      </c>
      <c r="H363" s="31"/>
      <c r="I363" s="32" t="s">
        <v>1016</v>
      </c>
      <c r="J363" s="32" t="b">
        <f t="shared" si="14"/>
        <v>0</v>
      </c>
      <c r="K363" s="31">
        <f t="shared" si="15"/>
        <v>0</v>
      </c>
      <c r="L363" s="33"/>
      <c r="M363" s="34"/>
    </row>
    <row r="364" spans="1:13" ht="34.5" customHeight="1" x14ac:dyDescent="0.25">
      <c r="A364" s="26" t="s">
        <v>469</v>
      </c>
      <c r="B364" s="101" t="s">
        <v>1314</v>
      </c>
      <c r="C364" s="27" t="s">
        <v>693</v>
      </c>
      <c r="D364" s="28" t="s">
        <v>1299</v>
      </c>
      <c r="E364" s="36">
        <v>2005242</v>
      </c>
      <c r="F364" s="36" t="s">
        <v>1315</v>
      </c>
      <c r="G364" s="30" t="s">
        <v>840</v>
      </c>
      <c r="H364" s="31"/>
      <c r="I364" s="32" t="s">
        <v>1016</v>
      </c>
      <c r="J364" s="32" t="b">
        <f t="shared" si="14"/>
        <v>0</v>
      </c>
      <c r="K364" s="31">
        <f t="shared" si="15"/>
        <v>0</v>
      </c>
      <c r="L364" s="33"/>
      <c r="M364" s="34"/>
    </row>
    <row r="365" spans="1:13" ht="34.5" customHeight="1" x14ac:dyDescent="0.25">
      <c r="A365" s="26" t="s">
        <v>470</v>
      </c>
      <c r="B365" s="101" t="s">
        <v>630</v>
      </c>
      <c r="C365" s="27" t="s">
        <v>1410</v>
      </c>
      <c r="D365" s="28" t="s">
        <v>1299</v>
      </c>
      <c r="E365" s="36" t="s">
        <v>1329</v>
      </c>
      <c r="F365" s="36" t="s">
        <v>1328</v>
      </c>
      <c r="G365" s="30" t="s">
        <v>840</v>
      </c>
      <c r="H365" s="31"/>
      <c r="I365" s="32" t="s">
        <v>1016</v>
      </c>
      <c r="J365" s="32" t="b">
        <f t="shared" si="14"/>
        <v>0</v>
      </c>
      <c r="K365" s="31">
        <f t="shared" si="15"/>
        <v>0</v>
      </c>
      <c r="L365" s="33"/>
      <c r="M365" s="34"/>
    </row>
    <row r="366" spans="1:13" ht="34.5" customHeight="1" x14ac:dyDescent="0.25">
      <c r="A366" s="26" t="s">
        <v>471</v>
      </c>
      <c r="B366" s="101" t="s">
        <v>630</v>
      </c>
      <c r="C366" s="27" t="s">
        <v>631</v>
      </c>
      <c r="D366" s="28" t="s">
        <v>1299</v>
      </c>
      <c r="E366" s="36" t="s">
        <v>1329</v>
      </c>
      <c r="F366" s="36" t="s">
        <v>1328</v>
      </c>
      <c r="G366" s="30" t="s">
        <v>840</v>
      </c>
      <c r="H366" s="31"/>
      <c r="I366" s="32" t="s">
        <v>1016</v>
      </c>
      <c r="J366" s="32" t="b">
        <f t="shared" si="14"/>
        <v>0</v>
      </c>
      <c r="K366" s="31">
        <f t="shared" si="15"/>
        <v>0</v>
      </c>
      <c r="L366" s="33"/>
      <c r="M366" s="34"/>
    </row>
    <row r="367" spans="1:13" ht="34.5" customHeight="1" x14ac:dyDescent="0.25">
      <c r="A367" s="26" t="s">
        <v>472</v>
      </c>
      <c r="B367" s="101" t="s">
        <v>630</v>
      </c>
      <c r="C367" s="27" t="s">
        <v>631</v>
      </c>
      <c r="D367" s="28" t="s">
        <v>1299</v>
      </c>
      <c r="E367" s="36" t="s">
        <v>1329</v>
      </c>
      <c r="F367" s="36" t="s">
        <v>1328</v>
      </c>
      <c r="G367" s="30" t="s">
        <v>840</v>
      </c>
      <c r="H367" s="31"/>
      <c r="I367" s="32" t="s">
        <v>1016</v>
      </c>
      <c r="J367" s="32" t="b">
        <f t="shared" si="14"/>
        <v>0</v>
      </c>
      <c r="K367" s="31">
        <f t="shared" si="15"/>
        <v>0</v>
      </c>
      <c r="L367" s="33"/>
      <c r="M367" s="34"/>
    </row>
    <row r="368" spans="1:13" ht="34.5" customHeight="1" x14ac:dyDescent="0.25">
      <c r="A368" s="26" t="s">
        <v>473</v>
      </c>
      <c r="B368" s="101" t="s">
        <v>630</v>
      </c>
      <c r="C368" s="27" t="s">
        <v>1411</v>
      </c>
      <c r="D368" s="28" t="s">
        <v>1299</v>
      </c>
      <c r="E368" s="36" t="s">
        <v>1329</v>
      </c>
      <c r="F368" s="36" t="s">
        <v>1328</v>
      </c>
      <c r="G368" s="30" t="s">
        <v>840</v>
      </c>
      <c r="H368" s="31"/>
      <c r="I368" s="32" t="s">
        <v>1016</v>
      </c>
      <c r="J368" s="32" t="b">
        <f t="shared" si="14"/>
        <v>0</v>
      </c>
      <c r="K368" s="31">
        <f t="shared" si="15"/>
        <v>0</v>
      </c>
      <c r="L368" s="33"/>
      <c r="M368" s="34"/>
    </row>
    <row r="369" spans="1:13" ht="34.5" customHeight="1" x14ac:dyDescent="0.25">
      <c r="A369" s="26" t="s">
        <v>474</v>
      </c>
      <c r="B369" s="101" t="s">
        <v>630</v>
      </c>
      <c r="C369" s="27" t="s">
        <v>693</v>
      </c>
      <c r="D369" s="28" t="s">
        <v>1299</v>
      </c>
      <c r="E369" s="36" t="s">
        <v>1329</v>
      </c>
      <c r="F369" s="36" t="s">
        <v>1328</v>
      </c>
      <c r="G369" s="30" t="s">
        <v>840</v>
      </c>
      <c r="H369" s="31"/>
      <c r="I369" s="32" t="s">
        <v>1016</v>
      </c>
      <c r="J369" s="32" t="b">
        <f t="shared" si="14"/>
        <v>0</v>
      </c>
      <c r="K369" s="31">
        <f t="shared" si="15"/>
        <v>0</v>
      </c>
      <c r="L369" s="33"/>
      <c r="M369" s="34"/>
    </row>
    <row r="370" spans="1:13" ht="34.5" customHeight="1" x14ac:dyDescent="0.25">
      <c r="A370" s="26" t="s">
        <v>475</v>
      </c>
      <c r="B370" s="101" t="s">
        <v>708</v>
      </c>
      <c r="C370" s="27" t="s">
        <v>1122</v>
      </c>
      <c r="D370" s="28" t="s">
        <v>1299</v>
      </c>
      <c r="E370" s="36" t="s">
        <v>1329</v>
      </c>
      <c r="F370" s="36" t="s">
        <v>1328</v>
      </c>
      <c r="G370" s="30" t="s">
        <v>840</v>
      </c>
      <c r="H370" s="31"/>
      <c r="I370" s="32" t="s">
        <v>1016</v>
      </c>
      <c r="J370" s="32" t="b">
        <f t="shared" si="14"/>
        <v>0</v>
      </c>
      <c r="K370" s="31">
        <f t="shared" si="15"/>
        <v>0</v>
      </c>
      <c r="L370" s="33"/>
      <c r="M370" s="34"/>
    </row>
    <row r="371" spans="1:13" ht="34.5" customHeight="1" x14ac:dyDescent="0.25">
      <c r="A371" s="26" t="s">
        <v>476</v>
      </c>
      <c r="B371" s="101" t="s">
        <v>708</v>
      </c>
      <c r="C371" s="27" t="s">
        <v>1122</v>
      </c>
      <c r="D371" s="28" t="s">
        <v>1299</v>
      </c>
      <c r="E371" s="36" t="s">
        <v>1329</v>
      </c>
      <c r="F371" s="36" t="s">
        <v>1328</v>
      </c>
      <c r="G371" s="30" t="s">
        <v>840</v>
      </c>
      <c r="H371" s="31"/>
      <c r="I371" s="32" t="s">
        <v>1016</v>
      </c>
      <c r="J371" s="32" t="b">
        <f t="shared" si="14"/>
        <v>0</v>
      </c>
      <c r="K371" s="31">
        <f t="shared" si="15"/>
        <v>0</v>
      </c>
      <c r="L371" s="33"/>
      <c r="M371" s="34"/>
    </row>
    <row r="372" spans="1:13" ht="34.5" customHeight="1" x14ac:dyDescent="0.25">
      <c r="A372" s="26" t="s">
        <v>477</v>
      </c>
      <c r="B372" s="101" t="s">
        <v>630</v>
      </c>
      <c r="C372" s="27" t="s">
        <v>653</v>
      </c>
      <c r="D372" s="28" t="s">
        <v>1299</v>
      </c>
      <c r="E372" s="36" t="s">
        <v>1329</v>
      </c>
      <c r="F372" s="36" t="s">
        <v>1328</v>
      </c>
      <c r="G372" s="30" t="s">
        <v>840</v>
      </c>
      <c r="H372" s="31"/>
      <c r="I372" s="32" t="s">
        <v>1016</v>
      </c>
      <c r="J372" s="32" t="b">
        <f t="shared" si="14"/>
        <v>0</v>
      </c>
      <c r="K372" s="31">
        <f t="shared" si="15"/>
        <v>0</v>
      </c>
      <c r="L372" s="33"/>
      <c r="M372" s="34"/>
    </row>
    <row r="373" spans="1:13" ht="34.5" customHeight="1" x14ac:dyDescent="0.25">
      <c r="A373" s="26" t="s">
        <v>478</v>
      </c>
      <c r="B373" s="101" t="s">
        <v>708</v>
      </c>
      <c r="C373" s="27" t="s">
        <v>653</v>
      </c>
      <c r="D373" s="28" t="s">
        <v>1299</v>
      </c>
      <c r="E373" s="36" t="s">
        <v>1329</v>
      </c>
      <c r="F373" s="36" t="s">
        <v>1328</v>
      </c>
      <c r="G373" s="30" t="s">
        <v>840</v>
      </c>
      <c r="H373" s="31"/>
      <c r="I373" s="32" t="s">
        <v>1016</v>
      </c>
      <c r="J373" s="32" t="b">
        <f t="shared" si="14"/>
        <v>0</v>
      </c>
      <c r="K373" s="31">
        <f t="shared" si="15"/>
        <v>0</v>
      </c>
      <c r="L373" s="33"/>
      <c r="M373" s="34"/>
    </row>
    <row r="374" spans="1:13" ht="34.5" customHeight="1" x14ac:dyDescent="0.25">
      <c r="A374" s="26" t="s">
        <v>479</v>
      </c>
      <c r="B374" s="101" t="s">
        <v>630</v>
      </c>
      <c r="C374" s="27" t="s">
        <v>693</v>
      </c>
      <c r="D374" s="28" t="s">
        <v>1299</v>
      </c>
      <c r="E374" s="36" t="s">
        <v>1329</v>
      </c>
      <c r="F374" s="36" t="s">
        <v>1328</v>
      </c>
      <c r="G374" s="30" t="s">
        <v>840</v>
      </c>
      <c r="H374" s="31"/>
      <c r="I374" s="32" t="s">
        <v>1016</v>
      </c>
      <c r="J374" s="32" t="b">
        <f t="shared" si="14"/>
        <v>0</v>
      </c>
      <c r="K374" s="31">
        <f t="shared" si="15"/>
        <v>0</v>
      </c>
      <c r="L374" s="33"/>
      <c r="M374" s="34"/>
    </row>
    <row r="375" spans="1:13" ht="34.5" customHeight="1" x14ac:dyDescent="0.25">
      <c r="A375" s="26" t="s">
        <v>480</v>
      </c>
      <c r="B375" s="101" t="s">
        <v>630</v>
      </c>
      <c r="C375" s="27" t="s">
        <v>693</v>
      </c>
      <c r="D375" s="28" t="s">
        <v>1299</v>
      </c>
      <c r="E375" s="36" t="s">
        <v>1329</v>
      </c>
      <c r="F375" s="36" t="s">
        <v>1328</v>
      </c>
      <c r="G375" s="30" t="s">
        <v>840</v>
      </c>
      <c r="H375" s="31"/>
      <c r="I375" s="32" t="s">
        <v>1016</v>
      </c>
      <c r="J375" s="32" t="b">
        <f t="shared" si="14"/>
        <v>0</v>
      </c>
      <c r="K375" s="31">
        <f t="shared" si="15"/>
        <v>0</v>
      </c>
      <c r="L375" s="33"/>
      <c r="M375" s="34"/>
    </row>
    <row r="376" spans="1:13" ht="34.5" customHeight="1" x14ac:dyDescent="0.25">
      <c r="A376" s="26" t="s">
        <v>481</v>
      </c>
      <c r="B376" s="101" t="s">
        <v>630</v>
      </c>
      <c r="C376" s="27" t="s">
        <v>750</v>
      </c>
      <c r="D376" s="28" t="s">
        <v>1299</v>
      </c>
      <c r="E376" s="36" t="s">
        <v>1329</v>
      </c>
      <c r="F376" s="36" t="s">
        <v>1328</v>
      </c>
      <c r="G376" s="30" t="s">
        <v>840</v>
      </c>
      <c r="H376" s="31"/>
      <c r="I376" s="32" t="s">
        <v>1016</v>
      </c>
      <c r="J376" s="32" t="b">
        <f t="shared" si="14"/>
        <v>0</v>
      </c>
      <c r="K376" s="31">
        <f t="shared" si="15"/>
        <v>0</v>
      </c>
      <c r="L376" s="33"/>
      <c r="M376" s="34"/>
    </row>
    <row r="377" spans="1:13" ht="34.5" customHeight="1" x14ac:dyDescent="0.25">
      <c r="A377" s="26" t="s">
        <v>482</v>
      </c>
      <c r="B377" s="101" t="s">
        <v>630</v>
      </c>
      <c r="C377" s="27" t="s">
        <v>750</v>
      </c>
      <c r="D377" s="28" t="s">
        <v>1299</v>
      </c>
      <c r="E377" s="36" t="s">
        <v>1329</v>
      </c>
      <c r="F377" s="36" t="s">
        <v>1328</v>
      </c>
      <c r="G377" s="30" t="s">
        <v>840</v>
      </c>
      <c r="H377" s="31"/>
      <c r="I377" s="32" t="s">
        <v>1016</v>
      </c>
      <c r="J377" s="32" t="b">
        <f t="shared" si="14"/>
        <v>0</v>
      </c>
      <c r="K377" s="31">
        <f t="shared" si="15"/>
        <v>0</v>
      </c>
      <c r="L377" s="33"/>
      <c r="M377" s="34"/>
    </row>
    <row r="378" spans="1:13" ht="34.5" customHeight="1" x14ac:dyDescent="0.25">
      <c r="A378" s="26" t="s">
        <v>483</v>
      </c>
      <c r="B378" s="101" t="s">
        <v>1314</v>
      </c>
      <c r="C378" s="27" t="s">
        <v>750</v>
      </c>
      <c r="D378" s="28" t="s">
        <v>1299</v>
      </c>
      <c r="E378" s="36">
        <v>2005242</v>
      </c>
      <c r="F378" s="36" t="s">
        <v>1315</v>
      </c>
      <c r="G378" s="30" t="s">
        <v>840</v>
      </c>
      <c r="H378" s="31"/>
      <c r="I378" s="32" t="s">
        <v>1016</v>
      </c>
      <c r="J378" s="32" t="b">
        <f t="shared" si="14"/>
        <v>0</v>
      </c>
      <c r="K378" s="31">
        <f t="shared" si="15"/>
        <v>0</v>
      </c>
      <c r="L378" s="33"/>
      <c r="M378" s="34"/>
    </row>
    <row r="379" spans="1:13" ht="34.5" customHeight="1" x14ac:dyDescent="0.25">
      <c r="A379" s="26" t="s">
        <v>484</v>
      </c>
      <c r="B379" s="101" t="s">
        <v>880</v>
      </c>
      <c r="C379" s="27" t="s">
        <v>1380</v>
      </c>
      <c r="D379" s="28" t="s">
        <v>1299</v>
      </c>
      <c r="E379" s="36" t="s">
        <v>1336</v>
      </c>
      <c r="F379" s="36" t="s">
        <v>766</v>
      </c>
      <c r="G379" s="30" t="s">
        <v>840</v>
      </c>
      <c r="H379" s="31"/>
      <c r="I379" s="32" t="s">
        <v>1016</v>
      </c>
      <c r="J379" s="32" t="b">
        <f t="shared" si="14"/>
        <v>0</v>
      </c>
      <c r="K379" s="31">
        <f t="shared" si="15"/>
        <v>0</v>
      </c>
      <c r="L379" s="33"/>
      <c r="M379" s="34"/>
    </row>
    <row r="380" spans="1:13" ht="34.5" customHeight="1" x14ac:dyDescent="0.25">
      <c r="A380" s="26" t="s">
        <v>485</v>
      </c>
      <c r="B380" s="101" t="s">
        <v>1333</v>
      </c>
      <c r="C380" s="27" t="s">
        <v>1380</v>
      </c>
      <c r="D380" s="28" t="s">
        <v>1299</v>
      </c>
      <c r="E380" s="36" t="s">
        <v>1332</v>
      </c>
      <c r="F380" s="36" t="s">
        <v>1211</v>
      </c>
      <c r="G380" s="30" t="s">
        <v>840</v>
      </c>
      <c r="H380" s="31"/>
      <c r="I380" s="32" t="s">
        <v>1016</v>
      </c>
      <c r="J380" s="32" t="b">
        <f t="shared" si="14"/>
        <v>0</v>
      </c>
      <c r="K380" s="31">
        <f t="shared" si="15"/>
        <v>0</v>
      </c>
      <c r="L380" s="33"/>
      <c r="M380" s="34"/>
    </row>
    <row r="381" spans="1:13" ht="34.5" customHeight="1" x14ac:dyDescent="0.25">
      <c r="A381" s="26" t="s">
        <v>486</v>
      </c>
      <c r="B381" s="101" t="s">
        <v>656</v>
      </c>
      <c r="C381" s="27" t="s">
        <v>1122</v>
      </c>
      <c r="D381" s="28" t="s">
        <v>1299</v>
      </c>
      <c r="E381" s="36"/>
      <c r="F381" s="36" t="s">
        <v>698</v>
      </c>
      <c r="G381" s="30" t="s">
        <v>840</v>
      </c>
      <c r="H381" s="31"/>
      <c r="I381" s="32" t="s">
        <v>1016</v>
      </c>
      <c r="J381" s="32" t="b">
        <f t="shared" si="14"/>
        <v>0</v>
      </c>
      <c r="K381" s="31">
        <f t="shared" si="15"/>
        <v>0</v>
      </c>
      <c r="L381" s="33"/>
      <c r="M381" s="34"/>
    </row>
    <row r="382" spans="1:13" ht="34.5" customHeight="1" x14ac:dyDescent="0.25">
      <c r="A382" s="26" t="s">
        <v>487</v>
      </c>
      <c r="B382" s="101" t="s">
        <v>1333</v>
      </c>
      <c r="C382" s="27" t="s">
        <v>653</v>
      </c>
      <c r="D382" s="28" t="s">
        <v>1299</v>
      </c>
      <c r="E382" s="36" t="s">
        <v>1332</v>
      </c>
      <c r="F382" s="36" t="s">
        <v>1211</v>
      </c>
      <c r="G382" s="30" t="s">
        <v>840</v>
      </c>
      <c r="H382" s="31"/>
      <c r="I382" s="32" t="s">
        <v>1016</v>
      </c>
      <c r="J382" s="32" t="b">
        <f t="shared" si="14"/>
        <v>0</v>
      </c>
      <c r="K382" s="31">
        <f t="shared" si="15"/>
        <v>0</v>
      </c>
      <c r="L382" s="33"/>
      <c r="M382" s="34"/>
    </row>
    <row r="383" spans="1:13" ht="34.5" customHeight="1" x14ac:dyDescent="0.25">
      <c r="A383" s="26" t="s">
        <v>488</v>
      </c>
      <c r="B383" s="101" t="s">
        <v>1330</v>
      </c>
      <c r="C383" s="27" t="s">
        <v>693</v>
      </c>
      <c r="D383" s="28" t="s">
        <v>1299</v>
      </c>
      <c r="E383" s="36" t="s">
        <v>1331</v>
      </c>
      <c r="F383" s="36" t="s">
        <v>1211</v>
      </c>
      <c r="G383" s="30" t="s">
        <v>840</v>
      </c>
      <c r="H383" s="31"/>
      <c r="I383" s="32" t="s">
        <v>1016</v>
      </c>
      <c r="J383" s="32" t="b">
        <f t="shared" si="14"/>
        <v>0</v>
      </c>
      <c r="K383" s="31">
        <f t="shared" si="15"/>
        <v>0</v>
      </c>
      <c r="L383" s="33"/>
      <c r="M383" s="34"/>
    </row>
    <row r="384" spans="1:13" ht="34.5" customHeight="1" x14ac:dyDescent="0.25">
      <c r="A384" s="26" t="s">
        <v>489</v>
      </c>
      <c r="B384" s="101" t="s">
        <v>720</v>
      </c>
      <c r="C384" s="27" t="s">
        <v>653</v>
      </c>
      <c r="D384" s="28" t="s">
        <v>1299</v>
      </c>
      <c r="E384" s="36"/>
      <c r="F384" s="36" t="s">
        <v>706</v>
      </c>
      <c r="G384" s="30" t="s">
        <v>840</v>
      </c>
      <c r="H384" s="31"/>
      <c r="I384" s="32" t="s">
        <v>1016</v>
      </c>
      <c r="J384" s="32" t="b">
        <f t="shared" si="14"/>
        <v>0</v>
      </c>
      <c r="K384" s="31">
        <f t="shared" si="15"/>
        <v>0</v>
      </c>
      <c r="L384" s="33"/>
      <c r="M384" s="34"/>
    </row>
    <row r="385" spans="1:13" ht="34.5" customHeight="1" x14ac:dyDescent="0.25">
      <c r="A385" s="26" t="s">
        <v>490</v>
      </c>
      <c r="B385" s="101" t="s">
        <v>640</v>
      </c>
      <c r="C385" s="27" t="s">
        <v>1135</v>
      </c>
      <c r="D385" s="28" t="s">
        <v>1299</v>
      </c>
      <c r="E385" s="36" t="s">
        <v>1136</v>
      </c>
      <c r="F385" s="36" t="s">
        <v>960</v>
      </c>
      <c r="G385" s="30" t="s">
        <v>959</v>
      </c>
      <c r="H385" s="31"/>
      <c r="I385" s="32" t="s">
        <v>1016</v>
      </c>
      <c r="J385" s="32" t="b">
        <f t="shared" si="14"/>
        <v>0</v>
      </c>
      <c r="K385" s="31">
        <f t="shared" si="15"/>
        <v>0</v>
      </c>
      <c r="L385" s="33"/>
      <c r="M385" s="34"/>
    </row>
    <row r="386" spans="1:13" ht="34.5" customHeight="1" x14ac:dyDescent="0.25">
      <c r="A386" s="26" t="s">
        <v>491</v>
      </c>
      <c r="B386" s="101" t="s">
        <v>1317</v>
      </c>
      <c r="C386" s="27" t="s">
        <v>1283</v>
      </c>
      <c r="D386" s="28" t="s">
        <v>1299</v>
      </c>
      <c r="E386" s="36" t="s">
        <v>1343</v>
      </c>
      <c r="F386" s="36" t="s">
        <v>634</v>
      </c>
      <c r="G386" s="30" t="s">
        <v>840</v>
      </c>
      <c r="H386" s="31"/>
      <c r="I386" s="32" t="s">
        <v>1016</v>
      </c>
      <c r="J386" s="32" t="b">
        <f t="shared" si="14"/>
        <v>0</v>
      </c>
      <c r="K386" s="31">
        <f t="shared" si="15"/>
        <v>0</v>
      </c>
      <c r="L386" s="33"/>
      <c r="M386" s="34"/>
    </row>
    <row r="387" spans="1:13" ht="34.5" customHeight="1" x14ac:dyDescent="0.25">
      <c r="A387" s="26" t="s">
        <v>492</v>
      </c>
      <c r="B387" s="101" t="s">
        <v>1314</v>
      </c>
      <c r="C387" s="27" t="s">
        <v>1283</v>
      </c>
      <c r="D387" s="28" t="s">
        <v>1299</v>
      </c>
      <c r="E387" s="36">
        <v>2005242</v>
      </c>
      <c r="F387" s="36" t="s">
        <v>1315</v>
      </c>
      <c r="G387" s="30" t="s">
        <v>840</v>
      </c>
      <c r="H387" s="31"/>
      <c r="I387" s="32" t="s">
        <v>1016</v>
      </c>
      <c r="J387" s="32" t="b">
        <f t="shared" si="14"/>
        <v>0</v>
      </c>
      <c r="K387" s="31">
        <f t="shared" si="15"/>
        <v>0</v>
      </c>
      <c r="L387" s="33"/>
      <c r="M387" s="34"/>
    </row>
    <row r="388" spans="1:13" ht="34.5" customHeight="1" x14ac:dyDescent="0.25">
      <c r="A388" s="26" t="s">
        <v>493</v>
      </c>
      <c r="B388" s="101" t="s">
        <v>1318</v>
      </c>
      <c r="C388" s="27" t="s">
        <v>1283</v>
      </c>
      <c r="D388" s="28" t="s">
        <v>1299</v>
      </c>
      <c r="E388" s="36">
        <v>20038999</v>
      </c>
      <c r="F388" s="36" t="s">
        <v>1338</v>
      </c>
      <c r="G388" s="30" t="s">
        <v>840</v>
      </c>
      <c r="H388" s="31"/>
      <c r="I388" s="32" t="s">
        <v>1016</v>
      </c>
      <c r="J388" s="32" t="b">
        <f t="shared" si="14"/>
        <v>0</v>
      </c>
      <c r="K388" s="31">
        <f t="shared" si="15"/>
        <v>0</v>
      </c>
      <c r="L388" s="33"/>
      <c r="M388" s="34"/>
    </row>
    <row r="389" spans="1:13" ht="34.5" customHeight="1" x14ac:dyDescent="0.25">
      <c r="A389" s="26" t="s">
        <v>494</v>
      </c>
      <c r="B389" s="101" t="s">
        <v>1319</v>
      </c>
      <c r="C389" s="27" t="s">
        <v>1283</v>
      </c>
      <c r="D389" s="28" t="s">
        <v>1299</v>
      </c>
      <c r="E389" s="36" t="s">
        <v>1341</v>
      </c>
      <c r="F389" s="36" t="s">
        <v>1320</v>
      </c>
      <c r="G389" s="30" t="s">
        <v>840</v>
      </c>
      <c r="H389" s="31"/>
      <c r="I389" s="32" t="s">
        <v>1016</v>
      </c>
      <c r="J389" s="32" t="b">
        <f t="shared" si="14"/>
        <v>0</v>
      </c>
      <c r="K389" s="31">
        <f t="shared" si="15"/>
        <v>0</v>
      </c>
      <c r="L389" s="33"/>
      <c r="M389" s="34"/>
    </row>
    <row r="390" spans="1:13" ht="34.5" customHeight="1" x14ac:dyDescent="0.25">
      <c r="A390" s="26" t="s">
        <v>495</v>
      </c>
      <c r="B390" s="101" t="s">
        <v>1318</v>
      </c>
      <c r="C390" s="27" t="s">
        <v>1380</v>
      </c>
      <c r="D390" s="28" t="s">
        <v>1252</v>
      </c>
      <c r="E390" s="36" t="s">
        <v>1345</v>
      </c>
      <c r="F390" s="36" t="s">
        <v>1338</v>
      </c>
      <c r="G390" s="30" t="s">
        <v>1346</v>
      </c>
      <c r="H390" s="31"/>
      <c r="I390" s="32" t="s">
        <v>1016</v>
      </c>
      <c r="J390" s="32" t="b">
        <f t="shared" si="14"/>
        <v>0</v>
      </c>
      <c r="K390" s="31">
        <f t="shared" si="15"/>
        <v>0</v>
      </c>
      <c r="L390" s="33"/>
      <c r="M390" s="34"/>
    </row>
    <row r="391" spans="1:13" ht="34.5" customHeight="1" x14ac:dyDescent="0.25">
      <c r="A391" s="26" t="s">
        <v>496</v>
      </c>
      <c r="B391" s="101" t="s">
        <v>1349</v>
      </c>
      <c r="C391" s="27" t="s">
        <v>1380</v>
      </c>
      <c r="D391" s="28" t="s">
        <v>668</v>
      </c>
      <c r="E391" s="36" t="s">
        <v>1348</v>
      </c>
      <c r="F391" s="36"/>
      <c r="G391" s="30" t="s">
        <v>840</v>
      </c>
      <c r="H391" s="31"/>
      <c r="I391" s="32" t="s">
        <v>1016</v>
      </c>
      <c r="J391" s="32" t="b">
        <f t="shared" si="14"/>
        <v>0</v>
      </c>
      <c r="K391" s="31">
        <f t="shared" si="15"/>
        <v>0</v>
      </c>
      <c r="L391" s="33"/>
      <c r="M391" s="34"/>
    </row>
    <row r="392" spans="1:13" ht="34.5" customHeight="1" x14ac:dyDescent="0.25">
      <c r="A392" s="26" t="s">
        <v>497</v>
      </c>
      <c r="B392" s="101" t="s">
        <v>1350</v>
      </c>
      <c r="C392" s="27" t="s">
        <v>1380</v>
      </c>
      <c r="D392" s="28" t="s">
        <v>668</v>
      </c>
      <c r="E392" s="36" t="s">
        <v>1351</v>
      </c>
      <c r="F392" s="36" t="s">
        <v>1352</v>
      </c>
      <c r="G392" s="30" t="s">
        <v>840</v>
      </c>
      <c r="H392" s="31"/>
      <c r="I392" s="32" t="s">
        <v>1016</v>
      </c>
      <c r="J392" s="32" t="b">
        <f t="shared" si="14"/>
        <v>0</v>
      </c>
      <c r="K392" s="31">
        <f t="shared" si="15"/>
        <v>0</v>
      </c>
      <c r="L392" s="33"/>
      <c r="M392" s="34"/>
    </row>
    <row r="393" spans="1:13" ht="34.5" customHeight="1" x14ac:dyDescent="0.25">
      <c r="A393" s="26" t="s">
        <v>498</v>
      </c>
      <c r="B393" s="101" t="s">
        <v>1314</v>
      </c>
      <c r="C393" s="27" t="s">
        <v>820</v>
      </c>
      <c r="D393" s="28" t="s">
        <v>1357</v>
      </c>
      <c r="E393" s="36">
        <v>2005242</v>
      </c>
      <c r="F393" s="36" t="s">
        <v>1315</v>
      </c>
      <c r="G393" s="30" t="s">
        <v>840</v>
      </c>
      <c r="H393" s="31"/>
      <c r="I393" s="32" t="s">
        <v>1016</v>
      </c>
      <c r="J393" s="32" t="b">
        <f t="shared" si="14"/>
        <v>0</v>
      </c>
      <c r="K393" s="31">
        <f t="shared" si="15"/>
        <v>0</v>
      </c>
      <c r="L393" s="33"/>
      <c r="M393" s="34"/>
    </row>
    <row r="394" spans="1:13" ht="34.5" customHeight="1" x14ac:dyDescent="0.25">
      <c r="A394" s="26" t="s">
        <v>499</v>
      </c>
      <c r="B394" s="101" t="s">
        <v>1319</v>
      </c>
      <c r="C394" s="27" t="s">
        <v>820</v>
      </c>
      <c r="D394" s="28" t="s">
        <v>1357</v>
      </c>
      <c r="E394" s="36" t="s">
        <v>1341</v>
      </c>
      <c r="F394" s="36" t="s">
        <v>1320</v>
      </c>
      <c r="G394" s="30" t="s">
        <v>840</v>
      </c>
      <c r="H394" s="31"/>
      <c r="I394" s="32" t="s">
        <v>1016</v>
      </c>
      <c r="J394" s="32" t="b">
        <f t="shared" si="14"/>
        <v>0</v>
      </c>
      <c r="K394" s="31">
        <f t="shared" si="15"/>
        <v>0</v>
      </c>
      <c r="L394" s="33"/>
      <c r="M394" s="34"/>
    </row>
    <row r="395" spans="1:13" ht="34.5" customHeight="1" x14ac:dyDescent="0.25">
      <c r="A395" s="26" t="s">
        <v>500</v>
      </c>
      <c r="B395" s="101" t="s">
        <v>1318</v>
      </c>
      <c r="C395" s="27" t="s">
        <v>820</v>
      </c>
      <c r="D395" s="28" t="s">
        <v>1357</v>
      </c>
      <c r="E395" s="36">
        <v>20038999</v>
      </c>
      <c r="F395" s="36" t="s">
        <v>1338</v>
      </c>
      <c r="G395" s="30" t="s">
        <v>840</v>
      </c>
      <c r="H395" s="31"/>
      <c r="I395" s="32" t="s">
        <v>1016</v>
      </c>
      <c r="J395" s="32" t="b">
        <f t="shared" si="14"/>
        <v>0</v>
      </c>
      <c r="K395" s="31">
        <f t="shared" si="15"/>
        <v>0</v>
      </c>
      <c r="L395" s="33"/>
      <c r="M395" s="34"/>
    </row>
    <row r="396" spans="1:13" ht="34.5" customHeight="1" x14ac:dyDescent="0.25">
      <c r="A396" s="26" t="s">
        <v>501</v>
      </c>
      <c r="B396" s="101" t="s">
        <v>1317</v>
      </c>
      <c r="C396" s="27" t="s">
        <v>820</v>
      </c>
      <c r="D396" s="28" t="s">
        <v>1357</v>
      </c>
      <c r="E396" s="36" t="s">
        <v>1343</v>
      </c>
      <c r="F396" s="36" t="s">
        <v>634</v>
      </c>
      <c r="G396" s="30" t="s">
        <v>840</v>
      </c>
      <c r="H396" s="31"/>
      <c r="I396" s="32" t="s">
        <v>1016</v>
      </c>
      <c r="J396" s="32" t="b">
        <f t="shared" si="14"/>
        <v>0</v>
      </c>
      <c r="K396" s="31">
        <f t="shared" si="15"/>
        <v>0</v>
      </c>
      <c r="L396" s="33"/>
      <c r="M396" s="34"/>
    </row>
    <row r="397" spans="1:13" ht="34.5" customHeight="1" x14ac:dyDescent="0.25">
      <c r="A397" s="26" t="s">
        <v>502</v>
      </c>
      <c r="B397" s="101" t="s">
        <v>730</v>
      </c>
      <c r="C397" s="27" t="s">
        <v>1123</v>
      </c>
      <c r="D397" s="28" t="s">
        <v>668</v>
      </c>
      <c r="E397" s="36" t="s">
        <v>910</v>
      </c>
      <c r="F397" s="36" t="s">
        <v>688</v>
      </c>
      <c r="G397" s="30" t="s">
        <v>1358</v>
      </c>
      <c r="H397" s="31"/>
      <c r="I397" s="32" t="s">
        <v>1016</v>
      </c>
      <c r="J397" s="32" t="b">
        <f t="shared" ref="J397:J460" si="16">IF(I397="b","0,6",IF(I397="r","0,2",IF(I397="o",0.8)))</f>
        <v>0</v>
      </c>
      <c r="K397" s="31">
        <f t="shared" si="15"/>
        <v>0</v>
      </c>
      <c r="L397" s="33"/>
      <c r="M397" s="34"/>
    </row>
    <row r="398" spans="1:13" ht="34.5" customHeight="1" x14ac:dyDescent="0.25">
      <c r="A398" s="26" t="s">
        <v>503</v>
      </c>
      <c r="B398" s="101" t="s">
        <v>1319</v>
      </c>
      <c r="C398" s="27" t="s">
        <v>750</v>
      </c>
      <c r="D398" s="28" t="s">
        <v>1299</v>
      </c>
      <c r="E398" s="36" t="s">
        <v>1341</v>
      </c>
      <c r="F398" s="36" t="s">
        <v>1320</v>
      </c>
      <c r="G398" s="30" t="s">
        <v>840</v>
      </c>
      <c r="H398" s="31"/>
      <c r="I398" s="32" t="s">
        <v>1016</v>
      </c>
      <c r="J398" s="32" t="b">
        <f t="shared" si="16"/>
        <v>0</v>
      </c>
      <c r="K398" s="31">
        <f t="shared" si="15"/>
        <v>0</v>
      </c>
      <c r="L398" s="33"/>
      <c r="M398" s="34"/>
    </row>
    <row r="399" spans="1:13" ht="34.5" customHeight="1" x14ac:dyDescent="0.25">
      <c r="A399" s="26" t="s">
        <v>504</v>
      </c>
      <c r="B399" s="101" t="s">
        <v>1354</v>
      </c>
      <c r="C399" s="27" t="s">
        <v>1380</v>
      </c>
      <c r="D399" s="28" t="s">
        <v>668</v>
      </c>
      <c r="E399" s="36" t="s">
        <v>1355</v>
      </c>
      <c r="F399" s="36" t="s">
        <v>1356</v>
      </c>
      <c r="G399" s="30">
        <v>22016</v>
      </c>
      <c r="H399" s="31"/>
      <c r="I399" s="32" t="s">
        <v>1016</v>
      </c>
      <c r="J399" s="32" t="b">
        <f t="shared" si="16"/>
        <v>0</v>
      </c>
      <c r="K399" s="31">
        <f t="shared" si="15"/>
        <v>0</v>
      </c>
      <c r="L399" s="33"/>
      <c r="M399" s="34"/>
    </row>
    <row r="400" spans="1:13" ht="34.5" customHeight="1" x14ac:dyDescent="0.25">
      <c r="A400" s="26" t="s">
        <v>505</v>
      </c>
      <c r="B400" s="101" t="s">
        <v>1360</v>
      </c>
      <c r="C400" s="27" t="s">
        <v>1376</v>
      </c>
      <c r="D400" s="28" t="s">
        <v>1373</v>
      </c>
      <c r="E400" s="36" t="s">
        <v>1361</v>
      </c>
      <c r="F400" s="36" t="s">
        <v>1362</v>
      </c>
      <c r="G400" s="30" t="s">
        <v>840</v>
      </c>
      <c r="H400" s="31"/>
      <c r="I400" s="32"/>
      <c r="J400" s="32" t="b">
        <f t="shared" si="16"/>
        <v>0</v>
      </c>
      <c r="K400" s="31">
        <f t="shared" si="15"/>
        <v>0</v>
      </c>
      <c r="L400" s="33"/>
      <c r="M400" s="34"/>
    </row>
    <row r="401" spans="1:13" ht="34.5" customHeight="1" x14ac:dyDescent="0.25">
      <c r="A401" s="26" t="s">
        <v>506</v>
      </c>
      <c r="B401" s="101" t="s">
        <v>636</v>
      </c>
      <c r="C401" s="27" t="s">
        <v>1376</v>
      </c>
      <c r="D401" s="28" t="s">
        <v>1373</v>
      </c>
      <c r="E401" s="36" t="s">
        <v>1364</v>
      </c>
      <c r="F401" s="36" t="s">
        <v>1363</v>
      </c>
      <c r="G401" s="30" t="s">
        <v>840</v>
      </c>
      <c r="H401" s="31"/>
      <c r="I401" s="32" t="s">
        <v>1102</v>
      </c>
      <c r="J401" s="32" t="b">
        <f t="shared" si="16"/>
        <v>0</v>
      </c>
      <c r="K401" s="31">
        <f t="shared" si="15"/>
        <v>0</v>
      </c>
      <c r="L401" s="33"/>
      <c r="M401" s="34"/>
    </row>
    <row r="402" spans="1:13" ht="34.5" customHeight="1" x14ac:dyDescent="0.25">
      <c r="A402" s="26" t="s">
        <v>507</v>
      </c>
      <c r="B402" s="101" t="s">
        <v>1365</v>
      </c>
      <c r="C402" s="27" t="s">
        <v>1376</v>
      </c>
      <c r="D402" s="28" t="s">
        <v>774</v>
      </c>
      <c r="E402" s="36" t="s">
        <v>1366</v>
      </c>
      <c r="F402" s="36" t="s">
        <v>1367</v>
      </c>
      <c r="G402" s="30" t="s">
        <v>840</v>
      </c>
      <c r="H402" s="31"/>
      <c r="I402" s="32"/>
      <c r="J402" s="32" t="b">
        <f t="shared" si="16"/>
        <v>0</v>
      </c>
      <c r="K402" s="31">
        <f t="shared" si="15"/>
        <v>0</v>
      </c>
      <c r="L402" s="33"/>
      <c r="M402" s="34"/>
    </row>
    <row r="403" spans="1:13" ht="34.5" customHeight="1" x14ac:dyDescent="0.25">
      <c r="A403" s="26" t="s">
        <v>508</v>
      </c>
      <c r="B403" s="101" t="s">
        <v>1368</v>
      </c>
      <c r="C403" s="27" t="s">
        <v>1376</v>
      </c>
      <c r="D403" s="28" t="s">
        <v>774</v>
      </c>
      <c r="E403" s="36" t="s">
        <v>1369</v>
      </c>
      <c r="F403" s="36" t="s">
        <v>1370</v>
      </c>
      <c r="G403" s="30">
        <v>6254182</v>
      </c>
      <c r="H403" s="31"/>
      <c r="I403" s="32"/>
      <c r="J403" s="32" t="b">
        <f t="shared" si="16"/>
        <v>0</v>
      </c>
      <c r="K403" s="31">
        <f t="shared" si="15"/>
        <v>0</v>
      </c>
      <c r="L403" s="33"/>
      <c r="M403" s="34"/>
    </row>
    <row r="404" spans="1:13" ht="34.5" customHeight="1" x14ac:dyDescent="0.25">
      <c r="A404" s="26" t="s">
        <v>509</v>
      </c>
      <c r="B404" s="101" t="s">
        <v>1330</v>
      </c>
      <c r="C404" s="27" t="s">
        <v>1371</v>
      </c>
      <c r="D404" s="28" t="s">
        <v>1359</v>
      </c>
      <c r="E404" s="36" t="s">
        <v>1331</v>
      </c>
      <c r="F404" s="36" t="s">
        <v>1211</v>
      </c>
      <c r="G404" s="30" t="s">
        <v>840</v>
      </c>
      <c r="H404" s="31"/>
      <c r="I404" s="32"/>
      <c r="J404" s="32" t="b">
        <f t="shared" si="16"/>
        <v>0</v>
      </c>
      <c r="K404" s="31">
        <f t="shared" ref="K404:K467" si="17">J404*H404</f>
        <v>0</v>
      </c>
      <c r="L404" s="33"/>
      <c r="M404" s="34"/>
    </row>
    <row r="405" spans="1:13" ht="34.5" customHeight="1" x14ac:dyDescent="0.25">
      <c r="A405" s="26" t="s">
        <v>510</v>
      </c>
      <c r="B405" s="101" t="s">
        <v>1333</v>
      </c>
      <c r="C405" s="27" t="s">
        <v>1371</v>
      </c>
      <c r="D405" s="28" t="s">
        <v>1359</v>
      </c>
      <c r="E405" s="36" t="s">
        <v>1332</v>
      </c>
      <c r="F405" s="36" t="s">
        <v>1211</v>
      </c>
      <c r="G405" s="30" t="s">
        <v>840</v>
      </c>
      <c r="H405" s="31"/>
      <c r="I405" s="32"/>
      <c r="J405" s="32" t="b">
        <f t="shared" si="16"/>
        <v>0</v>
      </c>
      <c r="K405" s="31">
        <f t="shared" si="17"/>
        <v>0</v>
      </c>
      <c r="L405" s="33"/>
      <c r="M405" s="34"/>
    </row>
    <row r="406" spans="1:13" ht="34.5" customHeight="1" x14ac:dyDescent="0.25">
      <c r="A406" s="26" t="s">
        <v>511</v>
      </c>
      <c r="B406" s="101" t="s">
        <v>730</v>
      </c>
      <c r="C406" s="27" t="s">
        <v>957</v>
      </c>
      <c r="D406" s="28" t="s">
        <v>1359</v>
      </c>
      <c r="E406" s="36" t="s">
        <v>1372</v>
      </c>
      <c r="F406" s="36" t="s">
        <v>688</v>
      </c>
      <c r="G406" s="30" t="s">
        <v>1374</v>
      </c>
      <c r="H406" s="31"/>
      <c r="I406" s="32" t="s">
        <v>1016</v>
      </c>
      <c r="J406" s="32" t="b">
        <f t="shared" si="16"/>
        <v>0</v>
      </c>
      <c r="K406" s="31">
        <f t="shared" si="17"/>
        <v>0</v>
      </c>
      <c r="L406" s="33"/>
      <c r="M406" s="34"/>
    </row>
    <row r="407" spans="1:13" ht="34.5" customHeight="1" x14ac:dyDescent="0.25">
      <c r="A407" s="26" t="s">
        <v>512</v>
      </c>
      <c r="B407" s="97" t="s">
        <v>1151</v>
      </c>
      <c r="C407" s="27" t="s">
        <v>773</v>
      </c>
      <c r="D407" s="28" t="s">
        <v>1359</v>
      </c>
      <c r="E407" s="36" t="s">
        <v>1153</v>
      </c>
      <c r="F407" s="36" t="s">
        <v>1152</v>
      </c>
      <c r="G407" s="30" t="s">
        <v>1157</v>
      </c>
      <c r="H407" s="31">
        <v>100</v>
      </c>
      <c r="I407" s="32" t="s">
        <v>1016</v>
      </c>
      <c r="J407" s="32" t="b">
        <f t="shared" si="16"/>
        <v>0</v>
      </c>
      <c r="K407" s="31">
        <f t="shared" si="17"/>
        <v>0</v>
      </c>
      <c r="L407" s="33"/>
      <c r="M407" s="34"/>
    </row>
    <row r="408" spans="1:13" ht="34.5" customHeight="1" x14ac:dyDescent="0.25">
      <c r="A408" s="26" t="s">
        <v>513</v>
      </c>
      <c r="B408" s="101" t="s">
        <v>1151</v>
      </c>
      <c r="C408" s="27" t="s">
        <v>957</v>
      </c>
      <c r="D408" s="28" t="s">
        <v>1359</v>
      </c>
      <c r="E408" s="36" t="s">
        <v>1378</v>
      </c>
      <c r="F408" s="36" t="s">
        <v>703</v>
      </c>
      <c r="G408" s="30" t="s">
        <v>1379</v>
      </c>
      <c r="H408" s="31"/>
      <c r="I408" s="32" t="s">
        <v>1016</v>
      </c>
      <c r="J408" s="32" t="b">
        <f t="shared" si="16"/>
        <v>0</v>
      </c>
      <c r="K408" s="31">
        <f t="shared" si="17"/>
        <v>0</v>
      </c>
      <c r="L408" s="33"/>
      <c r="M408" s="34"/>
    </row>
    <row r="409" spans="1:13" ht="34.5" customHeight="1" x14ac:dyDescent="0.25">
      <c r="A409" s="26" t="s">
        <v>514</v>
      </c>
      <c r="B409" s="101" t="s">
        <v>1223</v>
      </c>
      <c r="C409" s="27" t="s">
        <v>957</v>
      </c>
      <c r="D409" s="28" t="s">
        <v>1359</v>
      </c>
      <c r="E409" s="36" t="s">
        <v>1224</v>
      </c>
      <c r="F409" s="36" t="s">
        <v>1225</v>
      </c>
      <c r="G409" s="30" t="s">
        <v>840</v>
      </c>
      <c r="H409" s="31"/>
      <c r="I409" s="32" t="s">
        <v>1016</v>
      </c>
      <c r="J409" s="32" t="b">
        <f t="shared" si="16"/>
        <v>0</v>
      </c>
      <c r="K409" s="31">
        <f t="shared" si="17"/>
        <v>0</v>
      </c>
      <c r="L409" s="33"/>
      <c r="M409" s="34"/>
    </row>
    <row r="410" spans="1:13" ht="34.5" customHeight="1" x14ac:dyDescent="0.25">
      <c r="A410" s="26" t="s">
        <v>515</v>
      </c>
      <c r="B410" s="101" t="s">
        <v>1375</v>
      </c>
      <c r="C410" s="27" t="s">
        <v>1376</v>
      </c>
      <c r="D410" s="28" t="s">
        <v>1359</v>
      </c>
      <c r="E410" s="36" t="s">
        <v>840</v>
      </c>
      <c r="F410" s="36" t="s">
        <v>840</v>
      </c>
      <c r="G410" s="30" t="s">
        <v>840</v>
      </c>
      <c r="H410" s="31"/>
      <c r="I410" s="32" t="s">
        <v>1102</v>
      </c>
      <c r="J410" s="32" t="b">
        <f t="shared" si="16"/>
        <v>0</v>
      </c>
      <c r="K410" s="31">
        <f t="shared" si="17"/>
        <v>0</v>
      </c>
      <c r="L410" s="33"/>
      <c r="M410" s="34"/>
    </row>
    <row r="411" spans="1:13" ht="34.5" customHeight="1" x14ac:dyDescent="0.25">
      <c r="A411" s="26" t="s">
        <v>516</v>
      </c>
      <c r="B411" s="101" t="s">
        <v>1384</v>
      </c>
      <c r="C411" s="27" t="s">
        <v>1380</v>
      </c>
      <c r="D411" s="28" t="s">
        <v>668</v>
      </c>
      <c r="E411" s="36" t="s">
        <v>1063</v>
      </c>
      <c r="F411" s="36" t="s">
        <v>1107</v>
      </c>
      <c r="G411" s="30" t="s">
        <v>840</v>
      </c>
      <c r="H411" s="31"/>
      <c r="I411" s="32" t="s">
        <v>1102</v>
      </c>
      <c r="J411" s="32" t="b">
        <f t="shared" si="16"/>
        <v>0</v>
      </c>
      <c r="K411" s="31">
        <f t="shared" si="17"/>
        <v>0</v>
      </c>
      <c r="L411" s="33"/>
      <c r="M411" s="34"/>
    </row>
    <row r="412" spans="1:13" ht="34.5" customHeight="1" x14ac:dyDescent="0.25">
      <c r="A412" s="26" t="s">
        <v>517</v>
      </c>
      <c r="B412" s="101" t="s">
        <v>1385</v>
      </c>
      <c r="C412" s="27" t="s">
        <v>820</v>
      </c>
      <c r="D412" s="28" t="s">
        <v>1357</v>
      </c>
      <c r="E412" s="36" t="s">
        <v>1386</v>
      </c>
      <c r="F412" s="36" t="s">
        <v>840</v>
      </c>
      <c r="G412" s="30" t="s">
        <v>840</v>
      </c>
      <c r="H412" s="31">
        <v>115.12</v>
      </c>
      <c r="I412" s="32" t="s">
        <v>1016</v>
      </c>
      <c r="J412" s="32" t="b">
        <f t="shared" si="16"/>
        <v>0</v>
      </c>
      <c r="K412" s="31">
        <f t="shared" si="17"/>
        <v>0</v>
      </c>
      <c r="L412" s="33"/>
      <c r="M412" s="34"/>
    </row>
    <row r="413" spans="1:13" ht="34.5" customHeight="1" x14ac:dyDescent="0.25">
      <c r="A413" s="26" t="s">
        <v>518</v>
      </c>
      <c r="B413" s="101" t="s">
        <v>1385</v>
      </c>
      <c r="C413" s="27" t="s">
        <v>820</v>
      </c>
      <c r="D413" s="28" t="s">
        <v>1357</v>
      </c>
      <c r="E413" s="36" t="s">
        <v>1386</v>
      </c>
      <c r="F413" s="36" t="s">
        <v>840</v>
      </c>
      <c r="G413" s="30" t="s">
        <v>840</v>
      </c>
      <c r="H413" s="31">
        <v>115.12</v>
      </c>
      <c r="I413" s="32" t="s">
        <v>1016</v>
      </c>
      <c r="J413" s="32" t="b">
        <f t="shared" si="16"/>
        <v>0</v>
      </c>
      <c r="K413" s="31">
        <f t="shared" si="17"/>
        <v>0</v>
      </c>
      <c r="L413" s="33"/>
      <c r="M413" s="34"/>
    </row>
    <row r="414" spans="1:13" ht="34.5" customHeight="1" x14ac:dyDescent="0.25">
      <c r="A414" s="26" t="s">
        <v>519</v>
      </c>
      <c r="B414" s="101" t="s">
        <v>1385</v>
      </c>
      <c r="C414" s="27" t="s">
        <v>820</v>
      </c>
      <c r="D414" s="28" t="s">
        <v>1357</v>
      </c>
      <c r="E414" s="36" t="s">
        <v>1386</v>
      </c>
      <c r="F414" s="36" t="s">
        <v>840</v>
      </c>
      <c r="G414" s="30" t="s">
        <v>840</v>
      </c>
      <c r="H414" s="31">
        <v>115.12</v>
      </c>
      <c r="I414" s="32" t="s">
        <v>1016</v>
      </c>
      <c r="J414" s="32" t="b">
        <f t="shared" si="16"/>
        <v>0</v>
      </c>
      <c r="K414" s="31">
        <f t="shared" si="17"/>
        <v>0</v>
      </c>
      <c r="L414" s="33"/>
      <c r="M414" s="34"/>
    </row>
    <row r="415" spans="1:13" ht="34.5" customHeight="1" x14ac:dyDescent="0.25">
      <c r="A415" s="26" t="s">
        <v>520</v>
      </c>
      <c r="B415" s="101" t="s">
        <v>1385</v>
      </c>
      <c r="C415" s="27" t="s">
        <v>820</v>
      </c>
      <c r="D415" s="28" t="s">
        <v>1357</v>
      </c>
      <c r="E415" s="36" t="s">
        <v>1386</v>
      </c>
      <c r="F415" s="36" t="s">
        <v>840</v>
      </c>
      <c r="G415" s="30" t="s">
        <v>840</v>
      </c>
      <c r="H415" s="31">
        <v>115.12</v>
      </c>
      <c r="I415" s="32" t="s">
        <v>1016</v>
      </c>
      <c r="J415" s="32" t="b">
        <f t="shared" si="16"/>
        <v>0</v>
      </c>
      <c r="K415" s="31">
        <f t="shared" si="17"/>
        <v>0</v>
      </c>
      <c r="L415" s="33"/>
      <c r="M415" s="34"/>
    </row>
    <row r="416" spans="1:13" ht="34.5" customHeight="1" x14ac:dyDescent="0.25">
      <c r="A416" s="26" t="s">
        <v>521</v>
      </c>
      <c r="B416" s="101" t="s">
        <v>1385</v>
      </c>
      <c r="C416" s="27" t="s">
        <v>820</v>
      </c>
      <c r="D416" s="28" t="s">
        <v>1357</v>
      </c>
      <c r="E416" s="36" t="s">
        <v>1386</v>
      </c>
      <c r="F416" s="36" t="s">
        <v>840</v>
      </c>
      <c r="G416" s="30" t="s">
        <v>840</v>
      </c>
      <c r="H416" s="31">
        <v>115.12</v>
      </c>
      <c r="I416" s="32" t="s">
        <v>1016</v>
      </c>
      <c r="J416" s="32" t="b">
        <f t="shared" si="16"/>
        <v>0</v>
      </c>
      <c r="K416" s="31">
        <f t="shared" si="17"/>
        <v>0</v>
      </c>
      <c r="L416" s="33"/>
      <c r="M416" s="34"/>
    </row>
    <row r="417" spans="1:13" ht="34.5" customHeight="1" x14ac:dyDescent="0.25">
      <c r="A417" s="26" t="s">
        <v>522</v>
      </c>
      <c r="B417" s="101" t="s">
        <v>1385</v>
      </c>
      <c r="C417" s="27" t="s">
        <v>820</v>
      </c>
      <c r="D417" s="28" t="s">
        <v>1357</v>
      </c>
      <c r="E417" s="36" t="s">
        <v>1386</v>
      </c>
      <c r="F417" s="36" t="s">
        <v>840</v>
      </c>
      <c r="G417" s="30" t="s">
        <v>840</v>
      </c>
      <c r="H417" s="31">
        <v>115.12</v>
      </c>
      <c r="I417" s="32" t="s">
        <v>1016</v>
      </c>
      <c r="J417" s="32" t="b">
        <f t="shared" si="16"/>
        <v>0</v>
      </c>
      <c r="K417" s="31">
        <f t="shared" si="17"/>
        <v>0</v>
      </c>
      <c r="L417" s="33"/>
      <c r="M417" s="34"/>
    </row>
    <row r="418" spans="1:13" ht="34.5" customHeight="1" x14ac:dyDescent="0.25">
      <c r="A418" s="26" t="s">
        <v>523</v>
      </c>
      <c r="B418" s="101" t="s">
        <v>1385</v>
      </c>
      <c r="C418" s="27" t="s">
        <v>1283</v>
      </c>
      <c r="D418" s="28" t="s">
        <v>1299</v>
      </c>
      <c r="E418" s="36" t="s">
        <v>1386</v>
      </c>
      <c r="F418" s="36" t="s">
        <v>840</v>
      </c>
      <c r="G418" s="30" t="s">
        <v>840</v>
      </c>
      <c r="H418" s="31">
        <v>115.12</v>
      </c>
      <c r="I418" s="32" t="s">
        <v>1016</v>
      </c>
      <c r="J418" s="32" t="b">
        <f t="shared" si="16"/>
        <v>0</v>
      </c>
      <c r="K418" s="31">
        <f t="shared" si="17"/>
        <v>0</v>
      </c>
      <c r="L418" s="33"/>
      <c r="M418" s="34"/>
    </row>
    <row r="419" spans="1:13" ht="34.5" customHeight="1" x14ac:dyDescent="0.25">
      <c r="A419" s="26" t="s">
        <v>524</v>
      </c>
      <c r="B419" s="101" t="s">
        <v>1385</v>
      </c>
      <c r="C419" s="27" t="s">
        <v>1283</v>
      </c>
      <c r="D419" s="28" t="s">
        <v>1299</v>
      </c>
      <c r="E419" s="36" t="s">
        <v>1386</v>
      </c>
      <c r="F419" s="36" t="s">
        <v>840</v>
      </c>
      <c r="G419" s="30" t="s">
        <v>840</v>
      </c>
      <c r="H419" s="31">
        <v>115.12</v>
      </c>
      <c r="I419" s="32" t="s">
        <v>1016</v>
      </c>
      <c r="J419" s="32" t="b">
        <f t="shared" si="16"/>
        <v>0</v>
      </c>
      <c r="K419" s="31">
        <f t="shared" si="17"/>
        <v>0</v>
      </c>
      <c r="L419" s="33"/>
      <c r="M419" s="34"/>
    </row>
    <row r="420" spans="1:13" ht="34.5" customHeight="1" x14ac:dyDescent="0.25">
      <c r="A420" s="26" t="s">
        <v>525</v>
      </c>
      <c r="B420" s="101" t="s">
        <v>1385</v>
      </c>
      <c r="C420" s="27" t="s">
        <v>1283</v>
      </c>
      <c r="D420" s="28" t="s">
        <v>1299</v>
      </c>
      <c r="E420" s="36" t="s">
        <v>1386</v>
      </c>
      <c r="F420" s="36" t="s">
        <v>840</v>
      </c>
      <c r="G420" s="30" t="s">
        <v>840</v>
      </c>
      <c r="H420" s="31">
        <v>115.12</v>
      </c>
      <c r="I420" s="32" t="s">
        <v>1016</v>
      </c>
      <c r="J420" s="32" t="b">
        <f t="shared" si="16"/>
        <v>0</v>
      </c>
      <c r="K420" s="31">
        <f t="shared" si="17"/>
        <v>0</v>
      </c>
      <c r="L420" s="33"/>
      <c r="M420" s="34"/>
    </row>
    <row r="421" spans="1:13" ht="34.5" customHeight="1" x14ac:dyDescent="0.25">
      <c r="A421" s="26" t="s">
        <v>526</v>
      </c>
      <c r="B421" s="101" t="s">
        <v>1385</v>
      </c>
      <c r="C421" s="27" t="s">
        <v>1283</v>
      </c>
      <c r="D421" s="28" t="s">
        <v>1299</v>
      </c>
      <c r="E421" s="36" t="s">
        <v>1386</v>
      </c>
      <c r="F421" s="36" t="s">
        <v>840</v>
      </c>
      <c r="G421" s="30" t="s">
        <v>840</v>
      </c>
      <c r="H421" s="31">
        <v>115.12</v>
      </c>
      <c r="I421" s="32" t="s">
        <v>1016</v>
      </c>
      <c r="J421" s="32" t="b">
        <f t="shared" si="16"/>
        <v>0</v>
      </c>
      <c r="K421" s="31">
        <f t="shared" si="17"/>
        <v>0</v>
      </c>
      <c r="L421" s="33"/>
      <c r="M421" s="34"/>
    </row>
    <row r="422" spans="1:13" ht="34.5" customHeight="1" x14ac:dyDescent="0.25">
      <c r="A422" s="26" t="s">
        <v>527</v>
      </c>
      <c r="B422" s="101" t="s">
        <v>1385</v>
      </c>
      <c r="C422" s="27" t="s">
        <v>1283</v>
      </c>
      <c r="D422" s="28" t="s">
        <v>1299</v>
      </c>
      <c r="E422" s="36" t="s">
        <v>1386</v>
      </c>
      <c r="F422" s="36" t="s">
        <v>840</v>
      </c>
      <c r="G422" s="30" t="s">
        <v>840</v>
      </c>
      <c r="H422" s="31">
        <v>115.12</v>
      </c>
      <c r="I422" s="32" t="s">
        <v>1016</v>
      </c>
      <c r="J422" s="32" t="b">
        <f t="shared" si="16"/>
        <v>0</v>
      </c>
      <c r="K422" s="31">
        <f t="shared" si="17"/>
        <v>0</v>
      </c>
      <c r="L422" s="33"/>
      <c r="M422" s="34"/>
    </row>
    <row r="423" spans="1:13" ht="34.5" customHeight="1" x14ac:dyDescent="0.25">
      <c r="A423" s="26" t="s">
        <v>528</v>
      </c>
      <c r="B423" s="101" t="s">
        <v>1385</v>
      </c>
      <c r="C423" s="27" t="s">
        <v>1283</v>
      </c>
      <c r="D423" s="28" t="s">
        <v>1299</v>
      </c>
      <c r="E423" s="36" t="s">
        <v>1386</v>
      </c>
      <c r="F423" s="36" t="s">
        <v>840</v>
      </c>
      <c r="G423" s="30" t="s">
        <v>840</v>
      </c>
      <c r="H423" s="31">
        <v>115.12</v>
      </c>
      <c r="I423" s="32" t="s">
        <v>1016</v>
      </c>
      <c r="J423" s="32" t="b">
        <f t="shared" si="16"/>
        <v>0</v>
      </c>
      <c r="K423" s="31">
        <f t="shared" si="17"/>
        <v>0</v>
      </c>
      <c r="L423" s="33"/>
      <c r="M423" s="34"/>
    </row>
    <row r="424" spans="1:13" ht="34.5" customHeight="1" x14ac:dyDescent="0.25">
      <c r="A424" s="26" t="s">
        <v>529</v>
      </c>
      <c r="B424" s="101" t="s">
        <v>1385</v>
      </c>
      <c r="C424" s="27" t="s">
        <v>693</v>
      </c>
      <c r="D424" s="28" t="s">
        <v>1299</v>
      </c>
      <c r="E424" s="36" t="s">
        <v>1386</v>
      </c>
      <c r="F424" s="36" t="s">
        <v>840</v>
      </c>
      <c r="G424" s="30" t="s">
        <v>840</v>
      </c>
      <c r="H424" s="31">
        <v>115.12</v>
      </c>
      <c r="I424" s="32" t="s">
        <v>1016</v>
      </c>
      <c r="J424" s="32" t="b">
        <f t="shared" si="16"/>
        <v>0</v>
      </c>
      <c r="K424" s="31">
        <f t="shared" si="17"/>
        <v>0</v>
      </c>
      <c r="L424" s="33"/>
      <c r="M424" s="34"/>
    </row>
    <row r="425" spans="1:13" ht="34.5" customHeight="1" x14ac:dyDescent="0.25">
      <c r="A425" s="26" t="s">
        <v>530</v>
      </c>
      <c r="B425" s="101" t="s">
        <v>1385</v>
      </c>
      <c r="C425" s="27" t="s">
        <v>750</v>
      </c>
      <c r="D425" s="28" t="s">
        <v>1299</v>
      </c>
      <c r="E425" s="36" t="s">
        <v>1386</v>
      </c>
      <c r="F425" s="36" t="s">
        <v>840</v>
      </c>
      <c r="G425" s="30" t="s">
        <v>840</v>
      </c>
      <c r="H425" s="31">
        <v>115.12</v>
      </c>
      <c r="I425" s="32" t="s">
        <v>1016</v>
      </c>
      <c r="J425" s="32" t="b">
        <f t="shared" si="16"/>
        <v>0</v>
      </c>
      <c r="K425" s="31">
        <f t="shared" si="17"/>
        <v>0</v>
      </c>
      <c r="L425" s="33"/>
      <c r="M425" s="34"/>
    </row>
    <row r="426" spans="1:13" ht="34.5" customHeight="1" x14ac:dyDescent="0.25">
      <c r="A426" s="26" t="s">
        <v>531</v>
      </c>
      <c r="B426" s="101" t="s">
        <v>1385</v>
      </c>
      <c r="C426" s="27" t="s">
        <v>750</v>
      </c>
      <c r="D426" s="28" t="s">
        <v>1299</v>
      </c>
      <c r="E426" s="36" t="s">
        <v>1386</v>
      </c>
      <c r="F426" s="36" t="s">
        <v>840</v>
      </c>
      <c r="G426" s="30" t="s">
        <v>840</v>
      </c>
      <c r="H426" s="31">
        <v>115.12</v>
      </c>
      <c r="I426" s="32" t="s">
        <v>1016</v>
      </c>
      <c r="J426" s="32" t="b">
        <f t="shared" si="16"/>
        <v>0</v>
      </c>
      <c r="K426" s="31">
        <f t="shared" si="17"/>
        <v>0</v>
      </c>
      <c r="L426" s="33"/>
      <c r="M426" s="34"/>
    </row>
    <row r="427" spans="1:13" ht="34.5" customHeight="1" x14ac:dyDescent="0.25">
      <c r="A427" s="26" t="s">
        <v>532</v>
      </c>
      <c r="B427" s="101" t="s">
        <v>1385</v>
      </c>
      <c r="C427" s="27" t="s">
        <v>1380</v>
      </c>
      <c r="D427" s="28" t="s">
        <v>1387</v>
      </c>
      <c r="E427" s="36" t="s">
        <v>1386</v>
      </c>
      <c r="F427" s="36" t="s">
        <v>840</v>
      </c>
      <c r="G427" s="30" t="s">
        <v>840</v>
      </c>
      <c r="H427" s="31">
        <v>115.12</v>
      </c>
      <c r="I427" s="32" t="s">
        <v>1016</v>
      </c>
      <c r="J427" s="32" t="b">
        <f t="shared" si="16"/>
        <v>0</v>
      </c>
      <c r="K427" s="31">
        <f t="shared" si="17"/>
        <v>0</v>
      </c>
      <c r="L427" s="33"/>
      <c r="M427" s="34"/>
    </row>
    <row r="428" spans="1:13" ht="34.5" customHeight="1" x14ac:dyDescent="0.25">
      <c r="A428" s="26" t="s">
        <v>533</v>
      </c>
      <c r="B428" s="101" t="s">
        <v>1385</v>
      </c>
      <c r="C428" s="27" t="s">
        <v>1380</v>
      </c>
      <c r="D428" s="28" t="s">
        <v>1387</v>
      </c>
      <c r="E428" s="36" t="s">
        <v>1386</v>
      </c>
      <c r="F428" s="36" t="s">
        <v>840</v>
      </c>
      <c r="G428" s="30" t="s">
        <v>840</v>
      </c>
      <c r="H428" s="31">
        <v>115.12</v>
      </c>
      <c r="I428" s="32" t="s">
        <v>1016</v>
      </c>
      <c r="J428" s="32" t="b">
        <f t="shared" si="16"/>
        <v>0</v>
      </c>
      <c r="K428" s="31">
        <f t="shared" si="17"/>
        <v>0</v>
      </c>
      <c r="L428" s="33"/>
      <c r="M428" s="34"/>
    </row>
    <row r="429" spans="1:13" ht="34.5" customHeight="1" x14ac:dyDescent="0.25">
      <c r="A429" s="26" t="s">
        <v>534</v>
      </c>
      <c r="B429" s="101" t="s">
        <v>1385</v>
      </c>
      <c r="C429" s="27" t="s">
        <v>1380</v>
      </c>
      <c r="D429" s="28" t="s">
        <v>1387</v>
      </c>
      <c r="E429" s="36" t="s">
        <v>1386</v>
      </c>
      <c r="F429" s="36" t="s">
        <v>840</v>
      </c>
      <c r="G429" s="30" t="s">
        <v>840</v>
      </c>
      <c r="H429" s="31">
        <v>115.12</v>
      </c>
      <c r="I429" s="32" t="s">
        <v>1016</v>
      </c>
      <c r="J429" s="32" t="b">
        <f t="shared" si="16"/>
        <v>0</v>
      </c>
      <c r="K429" s="31">
        <f t="shared" si="17"/>
        <v>0</v>
      </c>
      <c r="L429" s="33"/>
      <c r="M429" s="34"/>
    </row>
    <row r="430" spans="1:13" ht="34.5" customHeight="1" x14ac:dyDescent="0.25">
      <c r="A430" s="26" t="s">
        <v>535</v>
      </c>
      <c r="B430" s="101" t="s">
        <v>1389</v>
      </c>
      <c r="C430" s="27" t="s">
        <v>1388</v>
      </c>
      <c r="D430" s="28" t="s">
        <v>1359</v>
      </c>
      <c r="E430" s="36" t="s">
        <v>1390</v>
      </c>
      <c r="F430" s="36" t="s">
        <v>1391</v>
      </c>
      <c r="G430" s="30" t="s">
        <v>840</v>
      </c>
      <c r="H430" s="31">
        <v>121.47</v>
      </c>
      <c r="I430" s="32" t="s">
        <v>1016</v>
      </c>
      <c r="J430" s="32" t="b">
        <f t="shared" si="16"/>
        <v>0</v>
      </c>
      <c r="K430" s="31">
        <f t="shared" si="17"/>
        <v>0</v>
      </c>
      <c r="L430" s="33"/>
      <c r="M430" s="34"/>
    </row>
    <row r="431" spans="1:13" ht="34.5" customHeight="1" x14ac:dyDescent="0.25">
      <c r="A431" s="26" t="s">
        <v>536</v>
      </c>
      <c r="B431" s="101" t="s">
        <v>1223</v>
      </c>
      <c r="C431" s="27" t="s">
        <v>1392</v>
      </c>
      <c r="D431" s="28" t="s">
        <v>774</v>
      </c>
      <c r="E431" s="36" t="s">
        <v>1224</v>
      </c>
      <c r="F431" s="36" t="s">
        <v>1225</v>
      </c>
      <c r="G431" s="30" t="s">
        <v>840</v>
      </c>
      <c r="H431" s="31"/>
      <c r="I431" s="32" t="s">
        <v>1016</v>
      </c>
      <c r="J431" s="32" t="b">
        <f t="shared" si="16"/>
        <v>0</v>
      </c>
      <c r="K431" s="31">
        <f t="shared" si="17"/>
        <v>0</v>
      </c>
      <c r="L431" s="33"/>
      <c r="M431" s="34"/>
    </row>
    <row r="432" spans="1:13" ht="34.5" customHeight="1" x14ac:dyDescent="0.25">
      <c r="A432" s="26" t="s">
        <v>537</v>
      </c>
      <c r="B432" s="101" t="s">
        <v>720</v>
      </c>
      <c r="C432" s="27" t="s">
        <v>1176</v>
      </c>
      <c r="D432" s="28" t="s">
        <v>1359</v>
      </c>
      <c r="E432" s="36" t="s">
        <v>1236</v>
      </c>
      <c r="F432" s="36" t="s">
        <v>688</v>
      </c>
      <c r="G432" s="30" t="s">
        <v>1237</v>
      </c>
      <c r="H432" s="31"/>
      <c r="I432" s="32" t="s">
        <v>1016</v>
      </c>
      <c r="J432" s="32" t="b">
        <f t="shared" si="16"/>
        <v>0</v>
      </c>
      <c r="K432" s="31">
        <f t="shared" si="17"/>
        <v>0</v>
      </c>
      <c r="L432" s="33"/>
      <c r="M432" s="34"/>
    </row>
    <row r="433" spans="1:13" ht="34.5" customHeight="1" x14ac:dyDescent="0.25">
      <c r="A433" s="26" t="s">
        <v>538</v>
      </c>
      <c r="B433" s="101" t="s">
        <v>1304</v>
      </c>
      <c r="C433" s="27" t="s">
        <v>1123</v>
      </c>
      <c r="D433" s="28" t="s">
        <v>668</v>
      </c>
      <c r="E433" s="36" t="s">
        <v>660</v>
      </c>
      <c r="F433" s="36" t="s">
        <v>688</v>
      </c>
      <c r="G433" s="30" t="s">
        <v>689</v>
      </c>
      <c r="H433" s="31"/>
      <c r="I433" s="32" t="s">
        <v>1016</v>
      </c>
      <c r="J433" s="32" t="b">
        <f t="shared" si="16"/>
        <v>0</v>
      </c>
      <c r="K433" s="31">
        <f t="shared" si="17"/>
        <v>0</v>
      </c>
      <c r="L433" s="33"/>
      <c r="M433" s="34"/>
    </row>
    <row r="434" spans="1:13" ht="34.5" customHeight="1" x14ac:dyDescent="0.25">
      <c r="A434" s="26" t="s">
        <v>539</v>
      </c>
      <c r="B434" s="101" t="s">
        <v>1249</v>
      </c>
      <c r="C434" s="27" t="s">
        <v>1415</v>
      </c>
      <c r="D434" s="28" t="s">
        <v>774</v>
      </c>
      <c r="E434" s="36" t="s">
        <v>1063</v>
      </c>
      <c r="F434" s="36" t="s">
        <v>1396</v>
      </c>
      <c r="G434" s="30" t="s">
        <v>840</v>
      </c>
      <c r="H434" s="31"/>
      <c r="I434" s="32" t="s">
        <v>1016</v>
      </c>
      <c r="J434" s="32" t="b">
        <f t="shared" si="16"/>
        <v>0</v>
      </c>
      <c r="K434" s="31">
        <f t="shared" si="17"/>
        <v>0</v>
      </c>
      <c r="L434" s="33"/>
      <c r="M434" s="34"/>
    </row>
    <row r="435" spans="1:13" ht="34.5" customHeight="1" x14ac:dyDescent="0.25">
      <c r="A435" s="26" t="s">
        <v>540</v>
      </c>
      <c r="B435" s="35" t="s">
        <v>630</v>
      </c>
      <c r="C435" s="27" t="s">
        <v>1410</v>
      </c>
      <c r="D435" s="28" t="s">
        <v>1398</v>
      </c>
      <c r="E435" s="36" t="s">
        <v>1329</v>
      </c>
      <c r="F435" s="36" t="s">
        <v>1328</v>
      </c>
      <c r="G435" s="30" t="s">
        <v>840</v>
      </c>
      <c r="H435" s="31"/>
      <c r="I435" s="32" t="s">
        <v>1016</v>
      </c>
      <c r="J435" s="32" t="b">
        <f t="shared" si="16"/>
        <v>0</v>
      </c>
      <c r="K435" s="31">
        <f t="shared" si="17"/>
        <v>0</v>
      </c>
      <c r="L435" s="33"/>
      <c r="M435" s="34"/>
    </row>
    <row r="436" spans="1:13" ht="34.5" customHeight="1" x14ac:dyDescent="0.25">
      <c r="A436" s="26" t="s">
        <v>541</v>
      </c>
      <c r="B436" s="35" t="s">
        <v>1399</v>
      </c>
      <c r="C436" s="27" t="s">
        <v>721</v>
      </c>
      <c r="D436" s="28" t="s">
        <v>1327</v>
      </c>
      <c r="E436" s="36" t="s">
        <v>1400</v>
      </c>
      <c r="F436" s="36" t="s">
        <v>703</v>
      </c>
      <c r="G436" s="30" t="s">
        <v>1405</v>
      </c>
      <c r="H436" s="31"/>
      <c r="I436" s="32" t="s">
        <v>1016</v>
      </c>
      <c r="J436" s="32" t="b">
        <f t="shared" si="16"/>
        <v>0</v>
      </c>
      <c r="K436" s="31">
        <f t="shared" si="17"/>
        <v>0</v>
      </c>
      <c r="L436" s="33"/>
      <c r="M436" s="34"/>
    </row>
    <row r="437" spans="1:13" ht="34.5" customHeight="1" x14ac:dyDescent="0.25">
      <c r="A437" s="26" t="s">
        <v>542</v>
      </c>
      <c r="B437" s="35" t="s">
        <v>1399</v>
      </c>
      <c r="C437" s="27" t="s">
        <v>830</v>
      </c>
      <c r="D437" s="28" t="s">
        <v>1327</v>
      </c>
      <c r="E437" s="36" t="s">
        <v>1400</v>
      </c>
      <c r="F437" s="36" t="s">
        <v>703</v>
      </c>
      <c r="G437" s="30" t="s">
        <v>1407</v>
      </c>
      <c r="H437" s="31"/>
      <c r="I437" s="32" t="s">
        <v>1016</v>
      </c>
      <c r="J437" s="32" t="b">
        <f t="shared" si="16"/>
        <v>0</v>
      </c>
      <c r="K437" s="31">
        <f t="shared" si="17"/>
        <v>0</v>
      </c>
      <c r="L437" s="33"/>
      <c r="M437" s="34"/>
    </row>
    <row r="438" spans="1:13" ht="34.5" customHeight="1" x14ac:dyDescent="0.25">
      <c r="A438" s="26" t="s">
        <v>543</v>
      </c>
      <c r="B438" s="35" t="s">
        <v>1399</v>
      </c>
      <c r="C438" s="27" t="s">
        <v>906</v>
      </c>
      <c r="D438" s="28" t="s">
        <v>1327</v>
      </c>
      <c r="E438" s="36" t="s">
        <v>1400</v>
      </c>
      <c r="F438" s="36" t="s">
        <v>703</v>
      </c>
      <c r="G438" s="30" t="s">
        <v>1406</v>
      </c>
      <c r="H438" s="31"/>
      <c r="I438" s="32" t="s">
        <v>1016</v>
      </c>
      <c r="J438" s="32" t="b">
        <f t="shared" si="16"/>
        <v>0</v>
      </c>
      <c r="K438" s="31">
        <f t="shared" si="17"/>
        <v>0</v>
      </c>
      <c r="L438" s="33"/>
      <c r="M438" s="34"/>
    </row>
    <row r="439" spans="1:13" ht="34.5" customHeight="1" x14ac:dyDescent="0.25">
      <c r="A439" s="26" t="s">
        <v>544</v>
      </c>
      <c r="B439" s="35" t="s">
        <v>1399</v>
      </c>
      <c r="C439" s="27" t="s">
        <v>978</v>
      </c>
      <c r="D439" s="28" t="s">
        <v>1327</v>
      </c>
      <c r="E439" s="36" t="s">
        <v>1400</v>
      </c>
      <c r="F439" s="36" t="s">
        <v>703</v>
      </c>
      <c r="G439" s="30" t="s">
        <v>1404</v>
      </c>
      <c r="H439" s="31"/>
      <c r="I439" s="32" t="s">
        <v>1016</v>
      </c>
      <c r="J439" s="32" t="b">
        <f t="shared" si="16"/>
        <v>0</v>
      </c>
      <c r="K439" s="31">
        <f t="shared" si="17"/>
        <v>0</v>
      </c>
      <c r="L439" s="33"/>
      <c r="M439" s="34"/>
    </row>
    <row r="440" spans="1:13" ht="34.5" customHeight="1" x14ac:dyDescent="0.25">
      <c r="A440" s="26" t="s">
        <v>545</v>
      </c>
      <c r="B440" s="35" t="s">
        <v>1399</v>
      </c>
      <c r="C440" s="27" t="s">
        <v>820</v>
      </c>
      <c r="D440" s="28" t="s">
        <v>1357</v>
      </c>
      <c r="E440" s="36" t="s">
        <v>1400</v>
      </c>
      <c r="F440" s="36" t="s">
        <v>703</v>
      </c>
      <c r="G440" s="30" t="s">
        <v>1403</v>
      </c>
      <c r="H440" s="31"/>
      <c r="I440" s="32" t="s">
        <v>1016</v>
      </c>
      <c r="J440" s="32" t="b">
        <f t="shared" si="16"/>
        <v>0</v>
      </c>
      <c r="K440" s="31">
        <f t="shared" si="17"/>
        <v>0</v>
      </c>
      <c r="L440" s="33"/>
      <c r="M440" s="34"/>
    </row>
    <row r="441" spans="1:13" ht="34.5" customHeight="1" x14ac:dyDescent="0.25">
      <c r="A441" s="26" t="s">
        <v>546</v>
      </c>
      <c r="B441" s="35" t="s">
        <v>1399</v>
      </c>
      <c r="C441" s="27" t="s">
        <v>1411</v>
      </c>
      <c r="D441" s="28" t="s">
        <v>1398</v>
      </c>
      <c r="E441" s="36" t="s">
        <v>1400</v>
      </c>
      <c r="F441" s="36" t="s">
        <v>703</v>
      </c>
      <c r="G441" s="30" t="s">
        <v>1402</v>
      </c>
      <c r="H441" s="31"/>
      <c r="I441" s="32" t="s">
        <v>1016</v>
      </c>
      <c r="J441" s="32" t="b">
        <f t="shared" si="16"/>
        <v>0</v>
      </c>
      <c r="K441" s="31">
        <f t="shared" si="17"/>
        <v>0</v>
      </c>
      <c r="L441" s="33"/>
      <c r="M441" s="34"/>
    </row>
    <row r="442" spans="1:13" ht="34.5" customHeight="1" x14ac:dyDescent="0.25">
      <c r="A442" s="26" t="s">
        <v>547</v>
      </c>
      <c r="B442" s="35" t="s">
        <v>1399</v>
      </c>
      <c r="C442" s="27" t="s">
        <v>1410</v>
      </c>
      <c r="D442" s="28" t="s">
        <v>668</v>
      </c>
      <c r="E442" s="36" t="s">
        <v>1400</v>
      </c>
      <c r="F442" s="36" t="s">
        <v>703</v>
      </c>
      <c r="G442" s="30" t="s">
        <v>1401</v>
      </c>
      <c r="H442" s="31"/>
      <c r="I442" s="32" t="s">
        <v>1016</v>
      </c>
      <c r="J442" s="32" t="b">
        <f t="shared" si="16"/>
        <v>0</v>
      </c>
      <c r="K442" s="31">
        <f t="shared" si="17"/>
        <v>0</v>
      </c>
      <c r="L442" s="33"/>
      <c r="M442" s="34"/>
    </row>
    <row r="443" spans="1:13" ht="34.5" customHeight="1" x14ac:dyDescent="0.25">
      <c r="A443" s="26" t="s">
        <v>548</v>
      </c>
      <c r="B443" s="35" t="s">
        <v>1304</v>
      </c>
      <c r="C443" s="27" t="s">
        <v>1380</v>
      </c>
      <c r="D443" s="28" t="s">
        <v>1327</v>
      </c>
      <c r="E443" s="36" t="s">
        <v>959</v>
      </c>
      <c r="F443" s="36" t="s">
        <v>960</v>
      </c>
      <c r="G443" s="30" t="s">
        <v>1408</v>
      </c>
      <c r="H443" s="31"/>
      <c r="I443" s="32" t="s">
        <v>1016</v>
      </c>
      <c r="J443" s="32" t="b">
        <f t="shared" si="16"/>
        <v>0</v>
      </c>
      <c r="K443" s="31">
        <f t="shared" si="17"/>
        <v>0</v>
      </c>
      <c r="L443" s="33"/>
      <c r="M443" s="34"/>
    </row>
    <row r="444" spans="1:13" ht="34.5" customHeight="1" x14ac:dyDescent="0.25">
      <c r="A444" s="26" t="s">
        <v>549</v>
      </c>
      <c r="B444" s="35"/>
      <c r="C444" s="27" t="s">
        <v>1410</v>
      </c>
      <c r="D444" s="28" t="s">
        <v>1299</v>
      </c>
      <c r="E444" s="36" t="s">
        <v>959</v>
      </c>
      <c r="F444" s="36" t="s">
        <v>960</v>
      </c>
      <c r="G444" s="30"/>
      <c r="H444" s="31"/>
      <c r="I444" s="32" t="s">
        <v>1016</v>
      </c>
      <c r="J444" s="32" t="b">
        <f t="shared" si="16"/>
        <v>0</v>
      </c>
      <c r="K444" s="31">
        <f t="shared" si="17"/>
        <v>0</v>
      </c>
      <c r="L444" s="33"/>
      <c r="M444" s="34"/>
    </row>
    <row r="445" spans="1:13" ht="34.5" customHeight="1" x14ac:dyDescent="0.25">
      <c r="A445" s="26" t="s">
        <v>550</v>
      </c>
      <c r="B445" s="35"/>
      <c r="C445" s="27" t="s">
        <v>1410</v>
      </c>
      <c r="D445" s="28" t="s">
        <v>1299</v>
      </c>
      <c r="E445" s="36"/>
      <c r="F445" s="36"/>
      <c r="G445" s="30"/>
      <c r="H445" s="31"/>
      <c r="I445" s="32" t="s">
        <v>1016</v>
      </c>
      <c r="J445" s="32" t="b">
        <f t="shared" si="16"/>
        <v>0</v>
      </c>
      <c r="K445" s="31">
        <f t="shared" si="17"/>
        <v>0</v>
      </c>
      <c r="L445" s="33"/>
      <c r="M445" s="34"/>
    </row>
    <row r="446" spans="1:13" ht="34.5" customHeight="1" x14ac:dyDescent="0.25">
      <c r="A446" s="26" t="s">
        <v>551</v>
      </c>
      <c r="B446" s="101" t="s">
        <v>1409</v>
      </c>
      <c r="C446" s="27" t="s">
        <v>1410</v>
      </c>
      <c r="D446" s="28" t="s">
        <v>1299</v>
      </c>
      <c r="E446" s="36" t="s">
        <v>1306</v>
      </c>
      <c r="F446" s="36" t="s">
        <v>664</v>
      </c>
      <c r="G446" s="30" t="s">
        <v>840</v>
      </c>
      <c r="H446" s="31"/>
      <c r="I446" s="32" t="s">
        <v>1016</v>
      </c>
      <c r="J446" s="32" t="b">
        <f t="shared" si="16"/>
        <v>0</v>
      </c>
      <c r="K446" s="31">
        <f t="shared" si="17"/>
        <v>0</v>
      </c>
      <c r="L446" s="33"/>
      <c r="M446" s="34"/>
    </row>
    <row r="447" spans="1:13" ht="34.5" customHeight="1" x14ac:dyDescent="0.25">
      <c r="A447" s="26" t="s">
        <v>552</v>
      </c>
      <c r="B447" s="35" t="s">
        <v>1304</v>
      </c>
      <c r="C447" s="27" t="s">
        <v>1411</v>
      </c>
      <c r="D447" s="28" t="s">
        <v>1299</v>
      </c>
      <c r="E447" s="36" t="s">
        <v>959</v>
      </c>
      <c r="F447" s="36" t="s">
        <v>960</v>
      </c>
      <c r="G447" s="30" t="s">
        <v>1412</v>
      </c>
      <c r="H447" s="31"/>
      <c r="I447" s="32" t="s">
        <v>1016</v>
      </c>
      <c r="J447" s="32" t="b">
        <f t="shared" si="16"/>
        <v>0</v>
      </c>
      <c r="K447" s="31">
        <f t="shared" si="17"/>
        <v>0</v>
      </c>
      <c r="L447" s="33"/>
      <c r="M447" s="34"/>
    </row>
    <row r="448" spans="1:13" ht="34.5" customHeight="1" x14ac:dyDescent="0.25">
      <c r="A448" s="26" t="s">
        <v>553</v>
      </c>
      <c r="B448" s="35" t="s">
        <v>1413</v>
      </c>
      <c r="C448" s="27" t="s">
        <v>1381</v>
      </c>
      <c r="D448" s="28" t="s">
        <v>774</v>
      </c>
      <c r="E448" s="36" t="s">
        <v>840</v>
      </c>
      <c r="F448" s="36" t="s">
        <v>840</v>
      </c>
      <c r="G448" s="30" t="s">
        <v>840</v>
      </c>
      <c r="H448" s="31"/>
      <c r="I448" s="32" t="s">
        <v>1016</v>
      </c>
      <c r="J448" s="32" t="b">
        <f t="shared" si="16"/>
        <v>0</v>
      </c>
      <c r="K448" s="31">
        <f t="shared" si="17"/>
        <v>0</v>
      </c>
      <c r="L448" s="33"/>
      <c r="M448" s="34"/>
    </row>
    <row r="449" spans="1:13" ht="34.5" customHeight="1" x14ac:dyDescent="0.25">
      <c r="A449" s="26" t="s">
        <v>554</v>
      </c>
      <c r="B449" s="35" t="s">
        <v>1413</v>
      </c>
      <c r="C449" s="27" t="s">
        <v>1388</v>
      </c>
      <c r="D449" s="28" t="s">
        <v>774</v>
      </c>
      <c r="E449" s="36" t="s">
        <v>840</v>
      </c>
      <c r="F449" s="36" t="s">
        <v>840</v>
      </c>
      <c r="G449" s="30" t="s">
        <v>840</v>
      </c>
      <c r="H449" s="31"/>
      <c r="I449" s="32" t="s">
        <v>1016</v>
      </c>
      <c r="J449" s="32" t="b">
        <f t="shared" si="16"/>
        <v>0</v>
      </c>
      <c r="K449" s="31">
        <f t="shared" si="17"/>
        <v>0</v>
      </c>
      <c r="L449" s="33"/>
      <c r="M449" s="34"/>
    </row>
    <row r="450" spans="1:13" ht="34.5" customHeight="1" x14ac:dyDescent="0.25">
      <c r="A450" s="26" t="s">
        <v>555</v>
      </c>
      <c r="B450" s="35" t="s">
        <v>1413</v>
      </c>
      <c r="C450" s="27" t="s">
        <v>1414</v>
      </c>
      <c r="D450" s="28" t="s">
        <v>774</v>
      </c>
      <c r="E450" s="36" t="s">
        <v>840</v>
      </c>
      <c r="F450" s="36" t="s">
        <v>840</v>
      </c>
      <c r="G450" s="30" t="s">
        <v>840</v>
      </c>
      <c r="H450" s="31"/>
      <c r="I450" s="32" t="s">
        <v>1016</v>
      </c>
      <c r="J450" s="32" t="b">
        <f t="shared" si="16"/>
        <v>0</v>
      </c>
      <c r="K450" s="31">
        <f t="shared" si="17"/>
        <v>0</v>
      </c>
      <c r="L450" s="33"/>
      <c r="M450" s="34"/>
    </row>
    <row r="451" spans="1:13" ht="34.5" customHeight="1" x14ac:dyDescent="0.25">
      <c r="A451" s="26" t="s">
        <v>556</v>
      </c>
      <c r="B451" s="35" t="s">
        <v>1416</v>
      </c>
      <c r="C451" s="27" t="s">
        <v>1122</v>
      </c>
      <c r="D451" s="28" t="s">
        <v>1299</v>
      </c>
      <c r="E451" s="36" t="s">
        <v>1417</v>
      </c>
      <c r="F451" s="36" t="s">
        <v>1418</v>
      </c>
      <c r="G451" s="30" t="s">
        <v>840</v>
      </c>
      <c r="H451" s="31"/>
      <c r="I451" s="32" t="s">
        <v>1016</v>
      </c>
      <c r="J451" s="32" t="b">
        <f t="shared" si="16"/>
        <v>0</v>
      </c>
      <c r="K451" s="31">
        <f t="shared" si="17"/>
        <v>0</v>
      </c>
      <c r="L451" s="33"/>
      <c r="M451" s="34"/>
    </row>
    <row r="452" spans="1:13" ht="34.5" customHeight="1" x14ac:dyDescent="0.25">
      <c r="A452" s="26" t="s">
        <v>557</v>
      </c>
      <c r="B452" s="35" t="s">
        <v>675</v>
      </c>
      <c r="C452" s="27" t="s">
        <v>1371</v>
      </c>
      <c r="D452" s="28" t="s">
        <v>1359</v>
      </c>
      <c r="E452" s="36" t="s">
        <v>1420</v>
      </c>
      <c r="F452" s="36" t="s">
        <v>960</v>
      </c>
      <c r="G452" s="30" t="s">
        <v>1421</v>
      </c>
      <c r="H452" s="31"/>
      <c r="I452" s="32" t="s">
        <v>1016</v>
      </c>
      <c r="J452" s="32" t="b">
        <f t="shared" si="16"/>
        <v>0</v>
      </c>
      <c r="K452" s="31">
        <f t="shared" si="17"/>
        <v>0</v>
      </c>
      <c r="L452" s="33"/>
      <c r="M452" s="34"/>
    </row>
    <row r="453" spans="1:13" ht="34.5" customHeight="1" x14ac:dyDescent="0.25">
      <c r="A453" s="26" t="s">
        <v>558</v>
      </c>
      <c r="B453" s="35" t="s">
        <v>1422</v>
      </c>
      <c r="C453" s="27" t="s">
        <v>1176</v>
      </c>
      <c r="D453" s="28" t="s">
        <v>1359</v>
      </c>
      <c r="E453" s="36" t="s">
        <v>840</v>
      </c>
      <c r="F453" s="36" t="s">
        <v>1423</v>
      </c>
      <c r="G453" s="30" t="s">
        <v>840</v>
      </c>
      <c r="H453" s="31"/>
      <c r="I453" s="32" t="s">
        <v>1016</v>
      </c>
      <c r="J453" s="32" t="b">
        <f t="shared" si="16"/>
        <v>0</v>
      </c>
      <c r="K453" s="31">
        <f t="shared" si="17"/>
        <v>0</v>
      </c>
      <c r="L453" s="33"/>
      <c r="M453" s="34"/>
    </row>
    <row r="454" spans="1:13" ht="34.5" customHeight="1" x14ac:dyDescent="0.25">
      <c r="A454" s="26" t="s">
        <v>559</v>
      </c>
      <c r="B454" s="35" t="s">
        <v>1424</v>
      </c>
      <c r="C454" s="27" t="s">
        <v>1176</v>
      </c>
      <c r="D454" s="28" t="s">
        <v>1359</v>
      </c>
      <c r="E454" s="36" t="s">
        <v>1425</v>
      </c>
      <c r="F454" s="36" t="s">
        <v>1426</v>
      </c>
      <c r="G454" s="30" t="s">
        <v>1427</v>
      </c>
      <c r="H454" s="31"/>
      <c r="I454" s="32" t="s">
        <v>1016</v>
      </c>
      <c r="J454" s="32" t="b">
        <f t="shared" si="16"/>
        <v>0</v>
      </c>
      <c r="K454" s="31">
        <f t="shared" si="17"/>
        <v>0</v>
      </c>
      <c r="L454" s="33"/>
      <c r="M454" s="34"/>
    </row>
    <row r="455" spans="1:13" ht="34.5" customHeight="1" x14ac:dyDescent="0.25">
      <c r="A455" s="26" t="s">
        <v>560</v>
      </c>
      <c r="B455" s="35" t="s">
        <v>711</v>
      </c>
      <c r="C455" s="27" t="s">
        <v>1176</v>
      </c>
      <c r="D455" s="28" t="s">
        <v>1359</v>
      </c>
      <c r="E455" s="36" t="s">
        <v>1428</v>
      </c>
      <c r="F455" s="36" t="s">
        <v>1429</v>
      </c>
      <c r="G455" s="30" t="s">
        <v>840</v>
      </c>
      <c r="H455" s="31"/>
      <c r="I455" s="32" t="s">
        <v>1016</v>
      </c>
      <c r="J455" s="32" t="b">
        <f t="shared" si="16"/>
        <v>0</v>
      </c>
      <c r="K455" s="31">
        <f t="shared" si="17"/>
        <v>0</v>
      </c>
      <c r="L455" s="33"/>
      <c r="M455" s="34"/>
    </row>
    <row r="456" spans="1:13" ht="34.5" customHeight="1" x14ac:dyDescent="0.25">
      <c r="A456" s="26" t="s">
        <v>561</v>
      </c>
      <c r="B456" s="35"/>
      <c r="C456" s="27"/>
      <c r="D456" s="28"/>
      <c r="E456" s="36"/>
      <c r="F456" s="36"/>
      <c r="G456" s="30"/>
      <c r="H456" s="31"/>
      <c r="I456" s="32" t="s">
        <v>9</v>
      </c>
      <c r="J456" s="32">
        <f t="shared" si="16"/>
        <v>0.8</v>
      </c>
      <c r="K456" s="31">
        <f t="shared" si="17"/>
        <v>0</v>
      </c>
      <c r="L456" s="33"/>
      <c r="M456" s="34"/>
    </row>
    <row r="457" spans="1:13" ht="34.5" customHeight="1" x14ac:dyDescent="0.25">
      <c r="A457" s="26" t="s">
        <v>562</v>
      </c>
      <c r="B457" s="35"/>
      <c r="C457" s="27"/>
      <c r="D457" s="28"/>
      <c r="E457" s="36"/>
      <c r="F457" s="36"/>
      <c r="G457" s="30"/>
      <c r="H457" s="31"/>
      <c r="I457" s="32" t="s">
        <v>9</v>
      </c>
      <c r="J457" s="32">
        <f t="shared" si="16"/>
        <v>0.8</v>
      </c>
      <c r="K457" s="31">
        <f t="shared" si="17"/>
        <v>0</v>
      </c>
      <c r="L457" s="33"/>
      <c r="M457" s="34"/>
    </row>
    <row r="458" spans="1:13" ht="34.5" customHeight="1" x14ac:dyDescent="0.25">
      <c r="A458" s="26" t="s">
        <v>563</v>
      </c>
      <c r="B458" s="35"/>
      <c r="C458" s="27"/>
      <c r="D458" s="28"/>
      <c r="E458" s="36"/>
      <c r="F458" s="36"/>
      <c r="G458" s="30"/>
      <c r="H458" s="31"/>
      <c r="I458" s="32" t="s">
        <v>9</v>
      </c>
      <c r="J458" s="32">
        <f t="shared" si="16"/>
        <v>0.8</v>
      </c>
      <c r="K458" s="31">
        <f t="shared" si="17"/>
        <v>0</v>
      </c>
      <c r="L458" s="33"/>
      <c r="M458" s="34"/>
    </row>
    <row r="459" spans="1:13" ht="34.5" customHeight="1" x14ac:dyDescent="0.25">
      <c r="A459" s="26" t="s">
        <v>564</v>
      </c>
      <c r="B459" s="35"/>
      <c r="C459" s="27"/>
      <c r="D459" s="28"/>
      <c r="E459" s="36"/>
      <c r="F459" s="36"/>
      <c r="G459" s="30"/>
      <c r="H459" s="31"/>
      <c r="I459" s="32" t="s">
        <v>9</v>
      </c>
      <c r="J459" s="32">
        <f t="shared" si="16"/>
        <v>0.8</v>
      </c>
      <c r="K459" s="31">
        <f t="shared" si="17"/>
        <v>0</v>
      </c>
      <c r="L459" s="33"/>
      <c r="M459" s="34"/>
    </row>
    <row r="460" spans="1:13" ht="34.5" customHeight="1" x14ac:dyDescent="0.25">
      <c r="A460" s="26" t="s">
        <v>565</v>
      </c>
      <c r="B460" s="35"/>
      <c r="C460" s="27"/>
      <c r="D460" s="28"/>
      <c r="E460" s="36"/>
      <c r="F460" s="36"/>
      <c r="G460" s="30"/>
      <c r="H460" s="31"/>
      <c r="I460" s="32" t="s">
        <v>9</v>
      </c>
      <c r="J460" s="32">
        <f t="shared" si="16"/>
        <v>0.8</v>
      </c>
      <c r="K460" s="31">
        <f t="shared" si="17"/>
        <v>0</v>
      </c>
      <c r="L460" s="33"/>
      <c r="M460" s="34"/>
    </row>
    <row r="461" spans="1:13" ht="34.5" customHeight="1" x14ac:dyDescent="0.25">
      <c r="A461" s="26" t="s">
        <v>566</v>
      </c>
      <c r="B461" s="35"/>
      <c r="C461" s="27"/>
      <c r="D461" s="28"/>
      <c r="E461" s="36"/>
      <c r="F461" s="36"/>
      <c r="G461" s="30"/>
      <c r="H461" s="31"/>
      <c r="I461" s="32" t="s">
        <v>9</v>
      </c>
      <c r="J461" s="32">
        <f t="shared" ref="J461:J494" si="18">IF(I461="b","0,6",IF(I461="r","0,2",IF(I461="o",0.8)))</f>
        <v>0.8</v>
      </c>
      <c r="K461" s="31">
        <f t="shared" si="17"/>
        <v>0</v>
      </c>
      <c r="L461" s="33"/>
      <c r="M461" s="34"/>
    </row>
    <row r="462" spans="1:13" ht="34.5" customHeight="1" x14ac:dyDescent="0.25">
      <c r="A462" s="26" t="s">
        <v>567</v>
      </c>
      <c r="B462" s="35"/>
      <c r="C462" s="27"/>
      <c r="D462" s="28"/>
      <c r="E462" s="36"/>
      <c r="F462" s="36"/>
      <c r="G462" s="30"/>
      <c r="H462" s="31"/>
      <c r="I462" s="32" t="s">
        <v>9</v>
      </c>
      <c r="J462" s="32">
        <f t="shared" si="18"/>
        <v>0.8</v>
      </c>
      <c r="K462" s="31">
        <f t="shared" si="17"/>
        <v>0</v>
      </c>
      <c r="L462" s="33"/>
      <c r="M462" s="34"/>
    </row>
    <row r="463" spans="1:13" ht="34.5" customHeight="1" x14ac:dyDescent="0.25">
      <c r="A463" s="26" t="s">
        <v>568</v>
      </c>
      <c r="B463" s="35"/>
      <c r="C463" s="27"/>
      <c r="D463" s="28"/>
      <c r="E463" s="36"/>
      <c r="F463" s="36"/>
      <c r="G463" s="30"/>
      <c r="H463" s="31"/>
      <c r="I463" s="32" t="s">
        <v>9</v>
      </c>
      <c r="J463" s="32">
        <f t="shared" si="18"/>
        <v>0.8</v>
      </c>
      <c r="K463" s="31">
        <f t="shared" si="17"/>
        <v>0</v>
      </c>
      <c r="L463" s="33"/>
      <c r="M463" s="34"/>
    </row>
    <row r="464" spans="1:13" ht="34.5" customHeight="1" x14ac:dyDescent="0.25">
      <c r="A464" s="26" t="s">
        <v>569</v>
      </c>
      <c r="B464" s="35"/>
      <c r="C464" s="27"/>
      <c r="D464" s="28"/>
      <c r="E464" s="36"/>
      <c r="F464" s="36"/>
      <c r="G464" s="30"/>
      <c r="H464" s="31"/>
      <c r="I464" s="32" t="s">
        <v>9</v>
      </c>
      <c r="J464" s="32">
        <f t="shared" si="18"/>
        <v>0.8</v>
      </c>
      <c r="K464" s="31">
        <f t="shared" si="17"/>
        <v>0</v>
      </c>
      <c r="L464" s="33"/>
      <c r="M464" s="34"/>
    </row>
    <row r="465" spans="1:13" ht="34.5" customHeight="1" x14ac:dyDescent="0.25">
      <c r="A465" s="26" t="s">
        <v>570</v>
      </c>
      <c r="B465" s="35"/>
      <c r="C465" s="27"/>
      <c r="D465" s="28"/>
      <c r="E465" s="36"/>
      <c r="F465" s="36"/>
      <c r="G465" s="30"/>
      <c r="H465" s="31"/>
      <c r="I465" s="32" t="s">
        <v>9</v>
      </c>
      <c r="J465" s="32">
        <f t="shared" si="18"/>
        <v>0.8</v>
      </c>
      <c r="K465" s="31">
        <f t="shared" si="17"/>
        <v>0</v>
      </c>
      <c r="L465" s="33"/>
      <c r="M465" s="34"/>
    </row>
    <row r="466" spans="1:13" ht="34.5" customHeight="1" x14ac:dyDescent="0.25">
      <c r="A466" s="26" t="s">
        <v>571</v>
      </c>
      <c r="B466" s="35"/>
      <c r="C466" s="27"/>
      <c r="D466" s="28"/>
      <c r="E466" s="36"/>
      <c r="F466" s="36"/>
      <c r="G466" s="30"/>
      <c r="H466" s="31"/>
      <c r="I466" s="32" t="s">
        <v>9</v>
      </c>
      <c r="J466" s="32">
        <f t="shared" si="18"/>
        <v>0.8</v>
      </c>
      <c r="K466" s="31">
        <f t="shared" si="17"/>
        <v>0</v>
      </c>
      <c r="L466" s="33"/>
      <c r="M466" s="34"/>
    </row>
    <row r="467" spans="1:13" ht="34.5" customHeight="1" x14ac:dyDescent="0.25">
      <c r="A467" s="26" t="s">
        <v>572</v>
      </c>
      <c r="B467" s="35"/>
      <c r="C467" s="27"/>
      <c r="D467" s="28"/>
      <c r="E467" s="36"/>
      <c r="F467" s="36"/>
      <c r="G467" s="30"/>
      <c r="H467" s="31"/>
      <c r="I467" s="32" t="s">
        <v>9</v>
      </c>
      <c r="J467" s="32">
        <f t="shared" si="18"/>
        <v>0.8</v>
      </c>
      <c r="K467" s="31">
        <f t="shared" si="17"/>
        <v>0</v>
      </c>
      <c r="L467" s="33"/>
      <c r="M467" s="34"/>
    </row>
    <row r="468" spans="1:13" ht="34.5" customHeight="1" x14ac:dyDescent="0.25">
      <c r="A468" s="26" t="s">
        <v>573</v>
      </c>
      <c r="B468" s="35"/>
      <c r="C468" s="27"/>
      <c r="D468" s="28"/>
      <c r="E468" s="36"/>
      <c r="F468" s="36"/>
      <c r="G468" s="30"/>
      <c r="H468" s="31"/>
      <c r="I468" s="32" t="s">
        <v>9</v>
      </c>
      <c r="J468" s="32">
        <f t="shared" si="18"/>
        <v>0.8</v>
      </c>
      <c r="K468" s="31">
        <f t="shared" ref="K468:K496" si="19">J468*H468</f>
        <v>0</v>
      </c>
      <c r="L468" s="33"/>
      <c r="M468" s="34"/>
    </row>
    <row r="469" spans="1:13" ht="34.5" customHeight="1" x14ac:dyDescent="0.25">
      <c r="A469" s="26" t="s">
        <v>574</v>
      </c>
      <c r="B469" s="35"/>
      <c r="C469" s="27"/>
      <c r="D469" s="28"/>
      <c r="E469" s="36"/>
      <c r="F469" s="36"/>
      <c r="G469" s="30"/>
      <c r="H469" s="31"/>
      <c r="I469" s="32" t="s">
        <v>9</v>
      </c>
      <c r="J469" s="32">
        <f t="shared" si="18"/>
        <v>0.8</v>
      </c>
      <c r="K469" s="31">
        <f t="shared" si="19"/>
        <v>0</v>
      </c>
      <c r="L469" s="33"/>
      <c r="M469" s="34"/>
    </row>
    <row r="470" spans="1:13" ht="34.5" customHeight="1" x14ac:dyDescent="0.25">
      <c r="A470" s="26" t="s">
        <v>575</v>
      </c>
      <c r="B470" s="35"/>
      <c r="C470" s="27"/>
      <c r="D470" s="28"/>
      <c r="E470" s="36"/>
      <c r="F470" s="36"/>
      <c r="G470" s="30"/>
      <c r="H470" s="31"/>
      <c r="I470" s="32" t="s">
        <v>9</v>
      </c>
      <c r="J470" s="32">
        <f t="shared" si="18"/>
        <v>0.8</v>
      </c>
      <c r="K470" s="31">
        <f t="shared" si="19"/>
        <v>0</v>
      </c>
      <c r="L470" s="33"/>
      <c r="M470" s="34"/>
    </row>
    <row r="471" spans="1:13" ht="34.5" customHeight="1" x14ac:dyDescent="0.25">
      <c r="A471" s="26" t="s">
        <v>576</v>
      </c>
      <c r="B471" s="35"/>
      <c r="C471" s="27"/>
      <c r="D471" s="28"/>
      <c r="E471" s="36"/>
      <c r="F471" s="36"/>
      <c r="G471" s="30"/>
      <c r="H471" s="31"/>
      <c r="I471" s="32" t="s">
        <v>9</v>
      </c>
      <c r="J471" s="32">
        <f t="shared" si="18"/>
        <v>0.8</v>
      </c>
      <c r="K471" s="31">
        <f t="shared" si="19"/>
        <v>0</v>
      </c>
      <c r="L471" s="33"/>
      <c r="M471" s="34"/>
    </row>
    <row r="472" spans="1:13" ht="34.5" customHeight="1" x14ac:dyDescent="0.25">
      <c r="A472" s="26" t="s">
        <v>577</v>
      </c>
      <c r="B472" s="35"/>
      <c r="C472" s="27"/>
      <c r="D472" s="28"/>
      <c r="E472" s="36"/>
      <c r="F472" s="36"/>
      <c r="G472" s="30"/>
      <c r="H472" s="31"/>
      <c r="I472" s="32" t="s">
        <v>9</v>
      </c>
      <c r="J472" s="32">
        <f t="shared" si="18"/>
        <v>0.8</v>
      </c>
      <c r="K472" s="31">
        <f t="shared" si="19"/>
        <v>0</v>
      </c>
      <c r="L472" s="33"/>
      <c r="M472" s="34"/>
    </row>
    <row r="473" spans="1:13" ht="34.5" customHeight="1" x14ac:dyDescent="0.25">
      <c r="A473" s="26" t="s">
        <v>578</v>
      </c>
      <c r="B473" s="35"/>
      <c r="C473" s="27"/>
      <c r="D473" s="28"/>
      <c r="E473" s="36"/>
      <c r="F473" s="36"/>
      <c r="G473" s="30"/>
      <c r="H473" s="31"/>
      <c r="I473" s="32" t="s">
        <v>10</v>
      </c>
      <c r="J473" s="32" t="str">
        <f t="shared" si="18"/>
        <v>0,2</v>
      </c>
      <c r="K473" s="31">
        <f t="shared" si="19"/>
        <v>0</v>
      </c>
      <c r="L473" s="33"/>
      <c r="M473" s="34"/>
    </row>
    <row r="474" spans="1:13" ht="34.5" customHeight="1" x14ac:dyDescent="0.25">
      <c r="A474" s="26" t="s">
        <v>579</v>
      </c>
      <c r="B474" s="35"/>
      <c r="C474" s="27"/>
      <c r="D474" s="28"/>
      <c r="E474" s="36"/>
      <c r="F474" s="36"/>
      <c r="G474" s="30"/>
      <c r="H474" s="31"/>
      <c r="I474" s="32" t="s">
        <v>10</v>
      </c>
      <c r="J474" s="32" t="str">
        <f t="shared" si="18"/>
        <v>0,2</v>
      </c>
      <c r="K474" s="31">
        <f t="shared" si="19"/>
        <v>0</v>
      </c>
      <c r="L474" s="33"/>
      <c r="M474" s="34"/>
    </row>
    <row r="475" spans="1:13" ht="34.5" customHeight="1" x14ac:dyDescent="0.25">
      <c r="A475" s="26" t="s">
        <v>580</v>
      </c>
      <c r="B475" s="35"/>
      <c r="C475" s="27"/>
      <c r="D475" s="28"/>
      <c r="E475" s="36"/>
      <c r="F475" s="36"/>
      <c r="G475" s="30"/>
      <c r="H475" s="31"/>
      <c r="I475" s="32" t="s">
        <v>9</v>
      </c>
      <c r="J475" s="32">
        <f t="shared" si="18"/>
        <v>0.8</v>
      </c>
      <c r="K475" s="31">
        <f t="shared" si="19"/>
        <v>0</v>
      </c>
      <c r="L475" s="33"/>
      <c r="M475" s="34"/>
    </row>
    <row r="476" spans="1:13" ht="34.5" customHeight="1" x14ac:dyDescent="0.25">
      <c r="A476" s="26" t="s">
        <v>581</v>
      </c>
      <c r="B476" s="35"/>
      <c r="C476" s="27"/>
      <c r="D476" s="28"/>
      <c r="E476" s="36"/>
      <c r="F476" s="36"/>
      <c r="G476" s="30"/>
      <c r="H476" s="31"/>
      <c r="I476" s="32" t="s">
        <v>9</v>
      </c>
      <c r="J476" s="32">
        <f t="shared" si="18"/>
        <v>0.8</v>
      </c>
      <c r="K476" s="31">
        <f t="shared" si="19"/>
        <v>0</v>
      </c>
      <c r="L476" s="33"/>
      <c r="M476" s="34"/>
    </row>
    <row r="477" spans="1:13" ht="34.5" customHeight="1" x14ac:dyDescent="0.25">
      <c r="A477" s="26" t="s">
        <v>582</v>
      </c>
      <c r="B477" s="35"/>
      <c r="C477" s="27"/>
      <c r="D477" s="28"/>
      <c r="E477" s="36"/>
      <c r="F477" s="36"/>
      <c r="G477" s="30"/>
      <c r="H477" s="31"/>
      <c r="I477" s="32" t="s">
        <v>9</v>
      </c>
      <c r="J477" s="32">
        <f t="shared" si="18"/>
        <v>0.8</v>
      </c>
      <c r="K477" s="31">
        <f t="shared" si="19"/>
        <v>0</v>
      </c>
      <c r="L477" s="33"/>
      <c r="M477" s="34"/>
    </row>
    <row r="478" spans="1:13" ht="34.5" customHeight="1" x14ac:dyDescent="0.25">
      <c r="A478" s="26" t="s">
        <v>583</v>
      </c>
      <c r="B478" s="35"/>
      <c r="C478" s="27"/>
      <c r="D478" s="28"/>
      <c r="E478" s="36"/>
      <c r="F478" s="36"/>
      <c r="G478" s="30"/>
      <c r="H478" s="31"/>
      <c r="I478" s="32" t="s">
        <v>10</v>
      </c>
      <c r="J478" s="32" t="str">
        <f t="shared" si="18"/>
        <v>0,2</v>
      </c>
      <c r="K478" s="31">
        <f t="shared" si="19"/>
        <v>0</v>
      </c>
      <c r="L478" s="33"/>
      <c r="M478" s="34"/>
    </row>
    <row r="479" spans="1:13" ht="34.5" customHeight="1" x14ac:dyDescent="0.25">
      <c r="A479" s="26" t="s">
        <v>584</v>
      </c>
      <c r="B479" s="35"/>
      <c r="C479" s="27"/>
      <c r="D479" s="28"/>
      <c r="E479" s="36"/>
      <c r="F479" s="36"/>
      <c r="G479" s="30"/>
      <c r="H479" s="31"/>
      <c r="I479" s="32" t="s">
        <v>9</v>
      </c>
      <c r="J479" s="32">
        <f t="shared" si="18"/>
        <v>0.8</v>
      </c>
      <c r="K479" s="31">
        <f t="shared" si="19"/>
        <v>0</v>
      </c>
      <c r="L479" s="33"/>
      <c r="M479" s="34"/>
    </row>
    <row r="480" spans="1:13" ht="34.5" customHeight="1" x14ac:dyDescent="0.25">
      <c r="A480" s="26" t="s">
        <v>585</v>
      </c>
      <c r="B480" s="35"/>
      <c r="C480" s="27"/>
      <c r="D480" s="28"/>
      <c r="E480" s="36"/>
      <c r="F480" s="36"/>
      <c r="G480" s="30"/>
      <c r="H480" s="31"/>
      <c r="I480" s="32" t="s">
        <v>10</v>
      </c>
      <c r="J480" s="32" t="str">
        <f t="shared" si="18"/>
        <v>0,2</v>
      </c>
      <c r="K480" s="31">
        <f t="shared" si="19"/>
        <v>0</v>
      </c>
      <c r="L480" s="33"/>
      <c r="M480" s="34"/>
    </row>
    <row r="481" spans="1:13" ht="34.5" customHeight="1" x14ac:dyDescent="0.25">
      <c r="A481" s="26" t="s">
        <v>586</v>
      </c>
      <c r="B481" s="35"/>
      <c r="C481" s="27"/>
      <c r="D481" s="28"/>
      <c r="E481" s="36"/>
      <c r="F481" s="36"/>
      <c r="G481" s="30"/>
      <c r="H481" s="31"/>
      <c r="I481" s="32" t="s">
        <v>10</v>
      </c>
      <c r="J481" s="32" t="str">
        <f t="shared" si="18"/>
        <v>0,2</v>
      </c>
      <c r="K481" s="31">
        <f t="shared" si="19"/>
        <v>0</v>
      </c>
      <c r="L481" s="33"/>
      <c r="M481" s="34"/>
    </row>
    <row r="482" spans="1:13" ht="34.5" customHeight="1" x14ac:dyDescent="0.25">
      <c r="A482" s="26" t="s">
        <v>588</v>
      </c>
      <c r="B482" s="35"/>
      <c r="C482" s="27"/>
      <c r="D482" s="28"/>
      <c r="E482" s="36"/>
      <c r="F482" s="36"/>
      <c r="G482" s="30"/>
      <c r="H482" s="31"/>
      <c r="I482" s="32" t="s">
        <v>10</v>
      </c>
      <c r="J482" s="32" t="str">
        <f t="shared" si="18"/>
        <v>0,2</v>
      </c>
      <c r="K482" s="31">
        <f t="shared" si="19"/>
        <v>0</v>
      </c>
      <c r="L482" s="33"/>
      <c r="M482" s="34"/>
    </row>
    <row r="483" spans="1:13" ht="34.5" customHeight="1" x14ac:dyDescent="0.25">
      <c r="A483" s="26" t="s">
        <v>589</v>
      </c>
      <c r="B483" s="35"/>
      <c r="C483" s="27"/>
      <c r="D483" s="28"/>
      <c r="E483" s="36"/>
      <c r="F483" s="36"/>
      <c r="G483" s="30"/>
      <c r="H483" s="31"/>
      <c r="I483" s="32" t="s">
        <v>10</v>
      </c>
      <c r="J483" s="32" t="str">
        <f t="shared" si="18"/>
        <v>0,2</v>
      </c>
      <c r="K483" s="31">
        <f t="shared" si="19"/>
        <v>0</v>
      </c>
      <c r="L483" s="33"/>
      <c r="M483" s="34"/>
    </row>
    <row r="484" spans="1:13" ht="34.5" customHeight="1" x14ac:dyDescent="0.25">
      <c r="A484" s="26" t="s">
        <v>590</v>
      </c>
      <c r="B484" s="35"/>
      <c r="C484" s="27"/>
      <c r="D484" s="28"/>
      <c r="E484" s="36"/>
      <c r="F484" s="36"/>
      <c r="G484" s="30"/>
      <c r="H484" s="31"/>
      <c r="I484" s="32" t="s">
        <v>10</v>
      </c>
      <c r="J484" s="32" t="str">
        <f t="shared" si="18"/>
        <v>0,2</v>
      </c>
      <c r="K484" s="31">
        <f t="shared" si="19"/>
        <v>0</v>
      </c>
      <c r="L484" s="33"/>
      <c r="M484" s="34"/>
    </row>
    <row r="485" spans="1:13" ht="34.5" customHeight="1" x14ac:dyDescent="0.25">
      <c r="A485" s="26" t="s">
        <v>591</v>
      </c>
      <c r="B485" s="35"/>
      <c r="C485" s="27"/>
      <c r="D485" s="28"/>
      <c r="E485" s="36"/>
      <c r="F485" s="36"/>
      <c r="G485" s="30"/>
      <c r="H485" s="31"/>
      <c r="I485" s="32" t="s">
        <v>10</v>
      </c>
      <c r="J485" s="32" t="str">
        <f t="shared" si="18"/>
        <v>0,2</v>
      </c>
      <c r="K485" s="31">
        <f t="shared" si="19"/>
        <v>0</v>
      </c>
      <c r="L485" s="33"/>
      <c r="M485" s="34"/>
    </row>
    <row r="486" spans="1:13" ht="34.5" customHeight="1" x14ac:dyDescent="0.25">
      <c r="A486" s="26" t="s">
        <v>592</v>
      </c>
      <c r="B486" s="35"/>
      <c r="C486" s="27"/>
      <c r="D486" s="28"/>
      <c r="E486" s="36"/>
      <c r="F486" s="36"/>
      <c r="G486" s="30"/>
      <c r="H486" s="31"/>
      <c r="I486" s="32" t="s">
        <v>10</v>
      </c>
      <c r="J486" s="32" t="str">
        <f t="shared" si="18"/>
        <v>0,2</v>
      </c>
      <c r="K486" s="31">
        <f t="shared" si="19"/>
        <v>0</v>
      </c>
      <c r="L486" s="33"/>
      <c r="M486" s="34"/>
    </row>
    <row r="487" spans="1:13" ht="34.5" customHeight="1" x14ac:dyDescent="0.25">
      <c r="A487" s="26" t="s">
        <v>593</v>
      </c>
      <c r="B487" s="35"/>
      <c r="C487" s="27"/>
      <c r="D487" s="28"/>
      <c r="E487" s="36"/>
      <c r="F487" s="36"/>
      <c r="G487" s="30"/>
      <c r="H487" s="31"/>
      <c r="I487" s="32" t="s">
        <v>10</v>
      </c>
      <c r="J487" s="32" t="str">
        <f t="shared" si="18"/>
        <v>0,2</v>
      </c>
      <c r="K487" s="31">
        <f t="shared" si="19"/>
        <v>0</v>
      </c>
      <c r="L487" s="33"/>
      <c r="M487" s="34"/>
    </row>
    <row r="488" spans="1:13" ht="34.5" customHeight="1" x14ac:dyDescent="0.25">
      <c r="A488" s="26" t="s">
        <v>594</v>
      </c>
      <c r="B488" s="35"/>
      <c r="C488" s="27"/>
      <c r="D488" s="28"/>
      <c r="E488" s="36"/>
      <c r="F488" s="36"/>
      <c r="G488" s="30"/>
      <c r="H488" s="31"/>
      <c r="I488" s="32" t="s">
        <v>10</v>
      </c>
      <c r="J488" s="32" t="str">
        <f t="shared" si="18"/>
        <v>0,2</v>
      </c>
      <c r="K488" s="31">
        <f t="shared" si="19"/>
        <v>0</v>
      </c>
      <c r="L488" s="33"/>
      <c r="M488" s="34"/>
    </row>
    <row r="489" spans="1:13" ht="34.5" customHeight="1" x14ac:dyDescent="0.25">
      <c r="A489" s="26" t="s">
        <v>595</v>
      </c>
      <c r="B489" s="35"/>
      <c r="C489" s="27"/>
      <c r="D489" s="28"/>
      <c r="E489" s="36"/>
      <c r="F489" s="36"/>
      <c r="G489" s="30"/>
      <c r="H489" s="31"/>
      <c r="I489" s="32" t="s">
        <v>9</v>
      </c>
      <c r="J489" s="32">
        <f t="shared" si="18"/>
        <v>0.8</v>
      </c>
      <c r="K489" s="31">
        <f t="shared" si="19"/>
        <v>0</v>
      </c>
      <c r="L489" s="33"/>
      <c r="M489" s="34"/>
    </row>
    <row r="490" spans="1:13" ht="34.5" customHeight="1" x14ac:dyDescent="0.25">
      <c r="A490" s="26" t="s">
        <v>596</v>
      </c>
      <c r="B490" s="35"/>
      <c r="C490" s="27"/>
      <c r="D490" s="28"/>
      <c r="E490" s="36"/>
      <c r="F490" s="36"/>
      <c r="G490" s="30"/>
      <c r="H490" s="31"/>
      <c r="I490" s="32" t="s">
        <v>9</v>
      </c>
      <c r="J490" s="32">
        <f t="shared" si="18"/>
        <v>0.8</v>
      </c>
      <c r="K490" s="31">
        <f t="shared" si="19"/>
        <v>0</v>
      </c>
      <c r="L490" s="33"/>
      <c r="M490" s="34"/>
    </row>
    <row r="491" spans="1:13" ht="34.5" customHeight="1" x14ac:dyDescent="0.25">
      <c r="A491" s="26" t="s">
        <v>597</v>
      </c>
      <c r="B491" s="35"/>
      <c r="C491" s="27"/>
      <c r="D491" s="28"/>
      <c r="E491" s="36"/>
      <c r="F491" s="36"/>
      <c r="G491" s="30"/>
      <c r="H491" s="31"/>
      <c r="I491" s="32" t="s">
        <v>9</v>
      </c>
      <c r="J491" s="32">
        <f t="shared" si="18"/>
        <v>0.8</v>
      </c>
      <c r="K491" s="31">
        <f t="shared" si="19"/>
        <v>0</v>
      </c>
      <c r="L491" s="33"/>
      <c r="M491" s="34"/>
    </row>
    <row r="492" spans="1:13" ht="34.5" customHeight="1" x14ac:dyDescent="0.25">
      <c r="A492" s="26" t="s">
        <v>598</v>
      </c>
      <c r="B492" s="35"/>
      <c r="C492" s="27"/>
      <c r="D492" s="28"/>
      <c r="E492" s="36"/>
      <c r="F492" s="36"/>
      <c r="G492" s="30"/>
      <c r="H492" s="31"/>
      <c r="I492" s="32" t="s">
        <v>10</v>
      </c>
      <c r="J492" s="32" t="str">
        <f t="shared" si="18"/>
        <v>0,2</v>
      </c>
      <c r="K492" s="31">
        <f t="shared" si="19"/>
        <v>0</v>
      </c>
      <c r="L492" s="33"/>
      <c r="M492" s="34"/>
    </row>
    <row r="493" spans="1:13" ht="34.5" customHeight="1" x14ac:dyDescent="0.25">
      <c r="A493" s="26" t="s">
        <v>599</v>
      </c>
      <c r="B493" s="16"/>
      <c r="C493" s="13"/>
      <c r="D493" s="28"/>
      <c r="E493" s="95"/>
      <c r="F493" s="95"/>
      <c r="G493" s="14"/>
      <c r="H493" s="19"/>
      <c r="I493" s="1"/>
      <c r="J493" s="1" t="b">
        <f t="shared" si="18"/>
        <v>0</v>
      </c>
      <c r="K493" s="19">
        <f t="shared" si="19"/>
        <v>0</v>
      </c>
      <c r="L493" s="15"/>
      <c r="M493" s="7"/>
    </row>
    <row r="494" spans="1:13" ht="34.5" customHeight="1" x14ac:dyDescent="0.25">
      <c r="A494" s="26" t="s">
        <v>600</v>
      </c>
      <c r="B494" s="16"/>
      <c r="C494" s="13"/>
      <c r="D494" s="28"/>
      <c r="E494" s="95"/>
      <c r="F494" s="95"/>
      <c r="G494" s="14"/>
      <c r="H494" s="19"/>
      <c r="I494" s="1"/>
      <c r="J494" s="1" t="b">
        <f t="shared" si="18"/>
        <v>0</v>
      </c>
      <c r="K494" s="19">
        <f t="shared" si="19"/>
        <v>0</v>
      </c>
      <c r="L494" s="15"/>
      <c r="M494" s="7"/>
    </row>
    <row r="495" spans="1:13" ht="34.5" customHeight="1" x14ac:dyDescent="0.25">
      <c r="A495" s="26" t="s">
        <v>601</v>
      </c>
      <c r="B495" s="16"/>
      <c r="C495" s="13"/>
      <c r="D495" s="28"/>
      <c r="E495" s="95"/>
      <c r="F495" s="95"/>
      <c r="G495" s="14"/>
      <c r="H495" s="19"/>
      <c r="I495" s="25"/>
      <c r="J495" s="1" t="b">
        <f>IF(I497="b","0,6",IF(I497="r","0,2",IF(I497="o",0.8)))</f>
        <v>0</v>
      </c>
      <c r="K495" s="19">
        <f t="shared" si="19"/>
        <v>0</v>
      </c>
      <c r="L495" s="15"/>
      <c r="M495" s="7"/>
    </row>
    <row r="496" spans="1:13" ht="34.5" customHeight="1" x14ac:dyDescent="0.25">
      <c r="A496" s="26" t="s">
        <v>602</v>
      </c>
      <c r="B496" s="16"/>
      <c r="C496" s="13"/>
      <c r="D496" s="28"/>
      <c r="E496" s="95"/>
      <c r="F496" s="95"/>
      <c r="G496" s="14"/>
      <c r="H496" s="19"/>
      <c r="I496" s="1"/>
      <c r="J496" s="1" t="b">
        <f>IF(I496="b","0,6",IF(I496="r","0,2",IF(I496="o",0.8)))</f>
        <v>0</v>
      </c>
      <c r="K496" s="19">
        <f t="shared" si="19"/>
        <v>0</v>
      </c>
      <c r="L496" s="15"/>
      <c r="M496" s="7"/>
    </row>
    <row r="497" spans="1:13" ht="34.5" customHeight="1" x14ac:dyDescent="0.25">
      <c r="A497" s="26" t="s">
        <v>603</v>
      </c>
      <c r="B497" s="16"/>
      <c r="C497" s="13"/>
      <c r="D497" s="28"/>
      <c r="E497" s="95"/>
      <c r="F497" s="95"/>
      <c r="G497" s="14"/>
      <c r="H497" s="19"/>
      <c r="I497" s="1"/>
      <c r="J497" s="1" t="e">
        <f>IF(#REF!="b","0,6",IF(#REF!="r","0,2",IF(#REF!="o",0.8)))</f>
        <v>#REF!</v>
      </c>
      <c r="K497" s="19">
        <v>800</v>
      </c>
      <c r="L497" s="15"/>
      <c r="M497" s="7"/>
    </row>
    <row r="498" spans="1:13" ht="34.5" customHeight="1" x14ac:dyDescent="0.25">
      <c r="A498" s="26" t="s">
        <v>604</v>
      </c>
      <c r="B498" s="16"/>
      <c r="C498" s="13"/>
      <c r="D498" s="28"/>
      <c r="E498" s="95"/>
      <c r="F498" s="95"/>
      <c r="G498" s="14"/>
      <c r="H498" s="19"/>
      <c r="I498" s="1"/>
      <c r="J498" s="1" t="b">
        <f t="shared" ref="J498:J520" si="20">IF(I498="b","0,6",IF(I498="r","0,2",IF(I498="o",0.8)))</f>
        <v>0</v>
      </c>
      <c r="K498" s="19">
        <f t="shared" ref="K498:K520" si="21">J498*H498</f>
        <v>0</v>
      </c>
      <c r="L498" s="15"/>
      <c r="M498" s="7"/>
    </row>
    <row r="499" spans="1:13" ht="34.5" customHeight="1" x14ac:dyDescent="0.25">
      <c r="A499" s="26" t="s">
        <v>605</v>
      </c>
      <c r="B499" s="16"/>
      <c r="C499" s="13"/>
      <c r="D499" s="28"/>
      <c r="E499" s="95"/>
      <c r="F499" s="95"/>
      <c r="G499" s="14"/>
      <c r="H499" s="19"/>
      <c r="I499" s="1"/>
      <c r="J499" s="1" t="b">
        <f t="shared" si="20"/>
        <v>0</v>
      </c>
      <c r="K499" s="19">
        <f t="shared" si="21"/>
        <v>0</v>
      </c>
      <c r="L499" s="15"/>
      <c r="M499" s="7"/>
    </row>
    <row r="500" spans="1:13" ht="34.5" customHeight="1" x14ac:dyDescent="0.25">
      <c r="A500" s="26" t="s">
        <v>606</v>
      </c>
      <c r="B500" s="16"/>
      <c r="C500" s="13"/>
      <c r="D500" s="28"/>
      <c r="E500" s="95"/>
      <c r="F500" s="95"/>
      <c r="G500" s="14"/>
      <c r="H500" s="19"/>
      <c r="I500" s="1"/>
      <c r="J500" s="1" t="b">
        <f t="shared" si="20"/>
        <v>0</v>
      </c>
      <c r="K500" s="19">
        <f t="shared" si="21"/>
        <v>0</v>
      </c>
      <c r="L500" s="15"/>
      <c r="M500" s="7"/>
    </row>
    <row r="501" spans="1:13" ht="34.5" customHeight="1" x14ac:dyDescent="0.25">
      <c r="A501" s="26" t="s">
        <v>607</v>
      </c>
      <c r="B501" s="16"/>
      <c r="C501" s="13"/>
      <c r="D501" s="28"/>
      <c r="E501" s="95"/>
      <c r="F501" s="95"/>
      <c r="G501" s="14"/>
      <c r="H501" s="19"/>
      <c r="I501" s="1"/>
      <c r="J501" s="1" t="b">
        <f t="shared" si="20"/>
        <v>0</v>
      </c>
      <c r="K501" s="19">
        <f t="shared" si="21"/>
        <v>0</v>
      </c>
      <c r="L501" s="15"/>
      <c r="M501" s="7"/>
    </row>
    <row r="502" spans="1:13" ht="34.5" customHeight="1" x14ac:dyDescent="0.25">
      <c r="A502" s="26" t="s">
        <v>608</v>
      </c>
      <c r="B502" s="16"/>
      <c r="C502" s="13"/>
      <c r="D502" s="28"/>
      <c r="E502" s="95"/>
      <c r="F502" s="95"/>
      <c r="G502" s="14"/>
      <c r="H502" s="19"/>
      <c r="I502" s="1"/>
      <c r="J502" s="1" t="b">
        <f t="shared" si="20"/>
        <v>0</v>
      </c>
      <c r="K502" s="19">
        <f t="shared" si="21"/>
        <v>0</v>
      </c>
      <c r="L502" s="15"/>
      <c r="M502" s="7"/>
    </row>
    <row r="503" spans="1:13" ht="34.5" customHeight="1" x14ac:dyDescent="0.25">
      <c r="A503" s="26" t="s">
        <v>609</v>
      </c>
      <c r="B503" s="16"/>
      <c r="C503" s="13"/>
      <c r="D503" s="28"/>
      <c r="E503" s="95"/>
      <c r="F503" s="95"/>
      <c r="G503" s="14"/>
      <c r="H503" s="19"/>
      <c r="I503" s="1"/>
      <c r="J503" s="1" t="b">
        <f t="shared" si="20"/>
        <v>0</v>
      </c>
      <c r="K503" s="19">
        <f t="shared" si="21"/>
        <v>0</v>
      </c>
      <c r="L503" s="15"/>
      <c r="M503" s="7"/>
    </row>
    <row r="504" spans="1:13" ht="34.5" customHeight="1" x14ac:dyDescent="0.25">
      <c r="A504" s="26" t="s">
        <v>610</v>
      </c>
      <c r="B504" s="16"/>
      <c r="C504" s="13"/>
      <c r="D504" s="28"/>
      <c r="E504" s="95"/>
      <c r="F504" s="95"/>
      <c r="G504" s="14"/>
      <c r="H504" s="19"/>
      <c r="I504" s="1"/>
      <c r="J504" s="1" t="b">
        <f t="shared" si="20"/>
        <v>0</v>
      </c>
      <c r="K504" s="19">
        <f t="shared" si="21"/>
        <v>0</v>
      </c>
      <c r="L504" s="15"/>
      <c r="M504" s="7"/>
    </row>
    <row r="505" spans="1:13" ht="34.5" customHeight="1" x14ac:dyDescent="0.25">
      <c r="A505" s="26" t="s">
        <v>611</v>
      </c>
      <c r="B505" s="16"/>
      <c r="C505" s="13"/>
      <c r="D505" s="28"/>
      <c r="E505" s="95"/>
      <c r="F505" s="95"/>
      <c r="G505" s="14"/>
      <c r="H505" s="19"/>
      <c r="I505" s="1"/>
      <c r="J505" s="1" t="b">
        <f t="shared" si="20"/>
        <v>0</v>
      </c>
      <c r="K505" s="19">
        <f t="shared" si="21"/>
        <v>0</v>
      </c>
      <c r="L505" s="15"/>
      <c r="M505" s="7"/>
    </row>
    <row r="506" spans="1:13" ht="34.5" customHeight="1" x14ac:dyDescent="0.25">
      <c r="A506" s="26" t="s">
        <v>613</v>
      </c>
      <c r="B506" s="16"/>
      <c r="C506" s="13"/>
      <c r="D506" s="28"/>
      <c r="E506" s="95"/>
      <c r="F506" s="95"/>
      <c r="G506" s="14"/>
      <c r="H506" s="19"/>
      <c r="I506" s="1"/>
      <c r="J506" s="1" t="b">
        <f t="shared" si="20"/>
        <v>0</v>
      </c>
      <c r="K506" s="19">
        <f t="shared" si="21"/>
        <v>0</v>
      </c>
      <c r="L506" s="15"/>
      <c r="M506" s="7"/>
    </row>
    <row r="507" spans="1:13" ht="34.5" customHeight="1" x14ac:dyDescent="0.25">
      <c r="A507" s="26" t="s">
        <v>614</v>
      </c>
      <c r="B507" s="16"/>
      <c r="C507" s="13"/>
      <c r="D507" s="28"/>
      <c r="E507" s="95"/>
      <c r="F507" s="95"/>
      <c r="G507" s="14"/>
      <c r="H507" s="19"/>
      <c r="I507" s="1"/>
      <c r="J507" s="1" t="b">
        <f t="shared" si="20"/>
        <v>0</v>
      </c>
      <c r="K507" s="19">
        <f t="shared" si="21"/>
        <v>0</v>
      </c>
      <c r="L507" s="15"/>
      <c r="M507" s="7"/>
    </row>
    <row r="508" spans="1:13" ht="34.5" customHeight="1" x14ac:dyDescent="0.25">
      <c r="A508" s="26" t="s">
        <v>615</v>
      </c>
      <c r="B508" s="16"/>
      <c r="C508" s="13"/>
      <c r="D508" s="28"/>
      <c r="E508" s="95"/>
      <c r="F508" s="95"/>
      <c r="G508" s="14"/>
      <c r="H508" s="19"/>
      <c r="I508" s="1"/>
      <c r="J508" s="1" t="b">
        <f t="shared" si="20"/>
        <v>0</v>
      </c>
      <c r="K508" s="19">
        <f t="shared" si="21"/>
        <v>0</v>
      </c>
      <c r="L508" s="15"/>
      <c r="M508" s="7"/>
    </row>
    <row r="509" spans="1:13" ht="34.5" customHeight="1" x14ac:dyDescent="0.25">
      <c r="A509" s="26" t="s">
        <v>616</v>
      </c>
      <c r="B509" s="16"/>
      <c r="C509" s="13"/>
      <c r="D509" s="28"/>
      <c r="E509" s="95"/>
      <c r="F509" s="95"/>
      <c r="G509" s="14"/>
      <c r="H509" s="19"/>
      <c r="I509" s="1"/>
      <c r="J509" s="1" t="b">
        <f t="shared" si="20"/>
        <v>0</v>
      </c>
      <c r="K509" s="19">
        <f t="shared" si="21"/>
        <v>0</v>
      </c>
      <c r="L509" s="15"/>
      <c r="M509" s="7"/>
    </row>
    <row r="510" spans="1:13" ht="34.5" customHeight="1" x14ac:dyDescent="0.25">
      <c r="A510" s="26" t="s">
        <v>617</v>
      </c>
      <c r="B510" s="16"/>
      <c r="C510" s="13"/>
      <c r="D510" s="28"/>
      <c r="E510" s="95"/>
      <c r="F510" s="95"/>
      <c r="G510" s="14"/>
      <c r="H510" s="19"/>
      <c r="I510" s="1"/>
      <c r="J510" s="1" t="b">
        <f t="shared" si="20"/>
        <v>0</v>
      </c>
      <c r="K510" s="19">
        <f t="shared" si="21"/>
        <v>0</v>
      </c>
      <c r="L510" s="15"/>
      <c r="M510" s="7"/>
    </row>
    <row r="511" spans="1:13" ht="34.5" customHeight="1" x14ac:dyDescent="0.25">
      <c r="A511" s="26" t="s">
        <v>618</v>
      </c>
      <c r="B511" s="16"/>
      <c r="C511" s="13"/>
      <c r="D511" s="28"/>
      <c r="E511" s="95"/>
      <c r="F511" s="95"/>
      <c r="G511" s="14"/>
      <c r="H511" s="19"/>
      <c r="I511" s="1"/>
      <c r="J511" s="1" t="b">
        <f t="shared" si="20"/>
        <v>0</v>
      </c>
      <c r="K511" s="19">
        <f t="shared" si="21"/>
        <v>0</v>
      </c>
      <c r="L511" s="15"/>
      <c r="M511" s="7"/>
    </row>
    <row r="512" spans="1:13" ht="34.5" customHeight="1" x14ac:dyDescent="0.25">
      <c r="A512" s="26" t="s">
        <v>619</v>
      </c>
      <c r="B512" s="16"/>
      <c r="C512" s="13"/>
      <c r="D512" s="28"/>
      <c r="E512" s="95"/>
      <c r="F512" s="95"/>
      <c r="G512" s="14"/>
      <c r="H512" s="19"/>
      <c r="I512" s="1"/>
      <c r="J512" s="1" t="b">
        <f t="shared" si="20"/>
        <v>0</v>
      </c>
      <c r="K512" s="19">
        <f t="shared" si="21"/>
        <v>0</v>
      </c>
      <c r="L512" s="15"/>
      <c r="M512" s="7"/>
    </row>
    <row r="513" spans="1:13" ht="34.5" customHeight="1" x14ac:dyDescent="0.25">
      <c r="A513" s="26" t="s">
        <v>620</v>
      </c>
      <c r="B513" s="16"/>
      <c r="C513" s="13"/>
      <c r="D513" s="28"/>
      <c r="E513" s="95"/>
      <c r="F513" s="95"/>
      <c r="G513" s="14"/>
      <c r="H513" s="19"/>
      <c r="I513" s="1"/>
      <c r="J513" s="1" t="b">
        <f t="shared" si="20"/>
        <v>0</v>
      </c>
      <c r="K513" s="19">
        <f t="shared" si="21"/>
        <v>0</v>
      </c>
      <c r="L513" s="15"/>
      <c r="M513" s="7"/>
    </row>
    <row r="514" spans="1:13" ht="34.5" customHeight="1" x14ac:dyDescent="0.25">
      <c r="A514" s="26" t="s">
        <v>621</v>
      </c>
      <c r="B514" s="16"/>
      <c r="C514" s="13"/>
      <c r="D514" s="28"/>
      <c r="E514" s="95"/>
      <c r="F514" s="95"/>
      <c r="G514" s="14"/>
      <c r="H514" s="19"/>
      <c r="I514" s="1"/>
      <c r="J514" s="1" t="b">
        <f t="shared" si="20"/>
        <v>0</v>
      </c>
      <c r="K514" s="19">
        <f t="shared" si="21"/>
        <v>0</v>
      </c>
      <c r="L514" s="15"/>
      <c r="M514" s="7"/>
    </row>
    <row r="515" spans="1:13" ht="34.5" customHeight="1" x14ac:dyDescent="0.25">
      <c r="A515" s="26" t="s">
        <v>622</v>
      </c>
      <c r="B515" s="16"/>
      <c r="C515" s="13"/>
      <c r="D515" s="28"/>
      <c r="E515" s="95"/>
      <c r="F515" s="95"/>
      <c r="G515" s="14"/>
      <c r="H515" s="19"/>
      <c r="I515" s="1"/>
      <c r="J515" s="1" t="b">
        <f t="shared" si="20"/>
        <v>0</v>
      </c>
      <c r="K515" s="19">
        <f t="shared" si="21"/>
        <v>0</v>
      </c>
      <c r="L515" s="15"/>
      <c r="M515" s="7"/>
    </row>
    <row r="516" spans="1:13" ht="34.5" customHeight="1" x14ac:dyDescent="0.25">
      <c r="A516" s="26" t="s">
        <v>623</v>
      </c>
      <c r="B516" s="16"/>
      <c r="C516" s="13"/>
      <c r="D516" s="28"/>
      <c r="E516" s="95"/>
      <c r="F516" s="95"/>
      <c r="G516" s="14"/>
      <c r="H516" s="19"/>
      <c r="I516" s="1"/>
      <c r="J516" s="1" t="b">
        <f t="shared" si="20"/>
        <v>0</v>
      </c>
      <c r="K516" s="19">
        <f t="shared" si="21"/>
        <v>0</v>
      </c>
      <c r="L516" s="15"/>
      <c r="M516" s="7"/>
    </row>
    <row r="517" spans="1:13" ht="34.5" customHeight="1" x14ac:dyDescent="0.25">
      <c r="A517" s="26" t="s">
        <v>624</v>
      </c>
      <c r="B517" s="16"/>
      <c r="C517" s="13"/>
      <c r="D517" s="28"/>
      <c r="E517" s="95"/>
      <c r="F517" s="95"/>
      <c r="G517" s="14"/>
      <c r="H517" s="19"/>
      <c r="I517" s="1"/>
      <c r="J517" s="1" t="b">
        <f t="shared" si="20"/>
        <v>0</v>
      </c>
      <c r="K517" s="19">
        <f t="shared" si="21"/>
        <v>0</v>
      </c>
      <c r="L517" s="15"/>
      <c r="M517" s="7"/>
    </row>
    <row r="518" spans="1:13" ht="34.5" customHeight="1" x14ac:dyDescent="0.25">
      <c r="A518" s="26" t="s">
        <v>625</v>
      </c>
      <c r="B518" s="16"/>
      <c r="C518" s="13"/>
      <c r="D518" s="28"/>
      <c r="E518" s="95"/>
      <c r="F518" s="95"/>
      <c r="G518" s="14"/>
      <c r="H518" s="19"/>
      <c r="I518" s="1"/>
      <c r="J518" s="1" t="b">
        <f t="shared" si="20"/>
        <v>0</v>
      </c>
      <c r="K518" s="19">
        <f t="shared" si="21"/>
        <v>0</v>
      </c>
      <c r="L518" s="15"/>
      <c r="M518" s="7"/>
    </row>
    <row r="519" spans="1:13" ht="34.5" customHeight="1" x14ac:dyDescent="0.25">
      <c r="A519" s="26" t="s">
        <v>626</v>
      </c>
      <c r="B519" s="16"/>
      <c r="C519" s="13"/>
      <c r="D519" s="28"/>
      <c r="E519" s="95"/>
      <c r="F519" s="95"/>
      <c r="G519" s="14"/>
      <c r="H519" s="19"/>
      <c r="I519" s="1"/>
      <c r="J519" s="1" t="b">
        <f t="shared" si="20"/>
        <v>0</v>
      </c>
      <c r="K519" s="19">
        <f t="shared" si="21"/>
        <v>0</v>
      </c>
      <c r="L519" s="15"/>
      <c r="M519" s="7"/>
    </row>
    <row r="520" spans="1:13" ht="34.5" customHeight="1" x14ac:dyDescent="0.25">
      <c r="A520" s="26" t="s">
        <v>627</v>
      </c>
      <c r="B520" s="16"/>
      <c r="C520" s="13"/>
      <c r="D520" s="28"/>
      <c r="E520" s="95"/>
      <c r="F520" s="95"/>
      <c r="G520" s="14"/>
      <c r="H520" s="19"/>
      <c r="I520" s="1"/>
      <c r="J520" s="1" t="b">
        <f t="shared" si="20"/>
        <v>0</v>
      </c>
      <c r="K520" s="19">
        <f t="shared" si="21"/>
        <v>0</v>
      </c>
      <c r="L520" s="15"/>
      <c r="M520" s="7"/>
    </row>
    <row r="521" spans="1:13" s="24" customFormat="1" ht="34.5" customHeight="1" x14ac:dyDescent="0.25">
      <c r="A521" s="12" t="s">
        <v>8</v>
      </c>
      <c r="B521" s="4"/>
      <c r="C521" s="12"/>
      <c r="D521" s="12"/>
      <c r="E521" s="12"/>
      <c r="F521" s="12"/>
      <c r="G521" s="3">
        <f>SUM(H5:H520)</f>
        <v>111453.62999999992</v>
      </c>
      <c r="H521" s="22"/>
      <c r="I521" s="11"/>
      <c r="J521" s="3"/>
      <c r="K521" s="23" t="e">
        <f>SUM(K5:K520)</f>
        <v>#REF!</v>
      </c>
      <c r="L521" s="3"/>
      <c r="M521" s="8"/>
    </row>
  </sheetData>
  <autoFilter ref="A4:Q521" xr:uid="{00000000-0009-0000-0000-000000000000}">
    <sortState xmlns:xlrd2="http://schemas.microsoft.com/office/spreadsheetml/2017/richdata2" ref="A5:Q521">
      <sortCondition ref="A4:A521"/>
    </sortState>
  </autoFilter>
  <mergeCells count="6">
    <mergeCell ref="A1:B3"/>
    <mergeCell ref="C1:L1"/>
    <mergeCell ref="C2:L2"/>
    <mergeCell ref="C3:D3"/>
    <mergeCell ref="E3:G3"/>
    <mergeCell ref="H3:L3"/>
  </mergeCells>
  <phoneticPr fontId="5" type="noConversion"/>
  <conditionalFormatting sqref="K5:L244 L245:L520 K245:K521">
    <cfRule type="cellIs" dxfId="3" priority="1" operator="equal">
      <formula>0</formula>
    </cfRule>
  </conditionalFormatting>
  <pageMargins left="0.25" right="0.25" top="0.75" bottom="0.75" header="0.3" footer="0.3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16"/>
  <sheetViews>
    <sheetView showGridLines="0" zoomScaleNormal="100" workbookViewId="0">
      <pane ySplit="4" topLeftCell="A92" activePane="bottomLeft" state="frozen"/>
      <selection pane="bottomLeft" activeCell="C100" sqref="C100"/>
    </sheetView>
  </sheetViews>
  <sheetFormatPr defaultColWidth="8.85546875" defaultRowHeight="34.5" customHeight="1" x14ac:dyDescent="0.25"/>
  <cols>
    <col min="1" max="1" width="15.85546875" bestFit="1" customWidth="1"/>
    <col min="2" max="2" width="42.42578125" style="2" customWidth="1"/>
    <col min="3" max="3" width="20.28515625" style="9" customWidth="1"/>
    <col min="4" max="4" width="36.42578125" style="2" customWidth="1"/>
    <col min="5" max="5" width="26.7109375" style="18" customWidth="1"/>
    <col min="6" max="6" width="24.42578125" style="2" customWidth="1"/>
    <col min="7" max="7" width="29.7109375" style="10" customWidth="1"/>
    <col min="8" max="8" width="29.28515625" style="10" bestFit="1" customWidth="1"/>
    <col min="9" max="9" width="15.7109375" style="20" customWidth="1"/>
    <col min="10" max="10" width="20.42578125" bestFit="1" customWidth="1"/>
    <col min="11" max="11" width="15.28515625" customWidth="1"/>
    <col min="12" max="12" width="18" style="20" customWidth="1"/>
    <col min="13" max="13" width="15.7109375" customWidth="1"/>
    <col min="14" max="14" width="13.140625" customWidth="1"/>
    <col min="15" max="15" width="9.140625" customWidth="1"/>
    <col min="17" max="17" width="5.42578125" customWidth="1"/>
    <col min="18" max="18" width="9.140625" hidden="1" customWidth="1"/>
    <col min="19" max="19" width="23.140625" customWidth="1"/>
  </cols>
  <sheetData>
    <row r="1" spans="1:14" ht="24.95" customHeight="1" x14ac:dyDescent="0.25">
      <c r="A1" s="112"/>
      <c r="B1" s="112"/>
      <c r="C1" s="113" t="s">
        <v>0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5"/>
    </row>
    <row r="2" spans="1:14" ht="24.95" customHeight="1" x14ac:dyDescent="0.25">
      <c r="A2" s="112"/>
      <c r="B2" s="112"/>
      <c r="C2" s="113" t="s">
        <v>1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5"/>
    </row>
    <row r="3" spans="1:14" ht="24.95" customHeight="1" x14ac:dyDescent="0.25">
      <c r="A3" s="112"/>
      <c r="B3" s="112"/>
      <c r="C3" s="114" t="s">
        <v>587</v>
      </c>
      <c r="D3" s="114"/>
      <c r="E3" s="115" t="s">
        <v>13</v>
      </c>
      <c r="F3" s="115"/>
      <c r="G3" s="115"/>
      <c r="H3" s="81"/>
      <c r="I3" s="116" t="s">
        <v>612</v>
      </c>
      <c r="J3" s="116"/>
      <c r="K3" s="116"/>
      <c r="L3" s="116"/>
      <c r="M3" s="116"/>
      <c r="N3" s="6"/>
    </row>
    <row r="4" spans="1:14" s="21" customFormat="1" ht="46.5" customHeight="1" x14ac:dyDescent="0.25">
      <c r="A4" s="38" t="s">
        <v>5</v>
      </c>
      <c r="B4" s="39" t="s">
        <v>2</v>
      </c>
      <c r="C4" s="38" t="s">
        <v>6</v>
      </c>
      <c r="D4" s="39" t="s">
        <v>3</v>
      </c>
      <c r="E4" s="39" t="s">
        <v>628</v>
      </c>
      <c r="F4" s="39" t="s">
        <v>629</v>
      </c>
      <c r="G4" s="39" t="s">
        <v>7</v>
      </c>
      <c r="H4" s="39" t="s">
        <v>1215</v>
      </c>
      <c r="I4" s="39" t="s">
        <v>4</v>
      </c>
      <c r="J4" s="39" t="s">
        <v>14</v>
      </c>
      <c r="K4" s="39" t="s">
        <v>14</v>
      </c>
      <c r="L4" s="39" t="s">
        <v>11</v>
      </c>
      <c r="M4" s="39" t="s">
        <v>12</v>
      </c>
      <c r="N4" s="40"/>
    </row>
    <row r="5" spans="1:14" ht="16.5" customHeight="1" x14ac:dyDescent="0.25">
      <c r="A5" s="49" t="s">
        <v>144</v>
      </c>
      <c r="B5" s="35" t="s">
        <v>630</v>
      </c>
      <c r="C5" s="70" t="s">
        <v>773</v>
      </c>
      <c r="D5" s="75" t="s">
        <v>980</v>
      </c>
      <c r="E5" s="36" t="s">
        <v>654</v>
      </c>
      <c r="F5" s="36" t="s">
        <v>654</v>
      </c>
      <c r="G5" s="82" t="s">
        <v>859</v>
      </c>
      <c r="H5" s="82" t="s">
        <v>1134</v>
      </c>
      <c r="I5" s="31"/>
      <c r="J5" s="32" t="s">
        <v>1134</v>
      </c>
      <c r="K5" s="32" t="b">
        <f t="shared" ref="K5:K68" si="0">IF(J5="b","0,6",IF(J5="r","0,2",IF(J5="o",0.8)))</f>
        <v>0</v>
      </c>
      <c r="L5" s="31">
        <f t="shared" ref="L5:L68" si="1">K5*I5</f>
        <v>0</v>
      </c>
      <c r="M5" s="33"/>
      <c r="N5" s="34"/>
    </row>
    <row r="6" spans="1:14" ht="16.5" customHeight="1" x14ac:dyDescent="0.25">
      <c r="A6" s="26" t="s">
        <v>198</v>
      </c>
      <c r="B6" s="35" t="s">
        <v>880</v>
      </c>
      <c r="C6" s="27"/>
      <c r="D6" s="28" t="s">
        <v>999</v>
      </c>
      <c r="E6" s="36" t="s">
        <v>993</v>
      </c>
      <c r="F6" s="36" t="s">
        <v>994</v>
      </c>
      <c r="G6" s="30" t="s">
        <v>996</v>
      </c>
      <c r="H6" s="92" t="s">
        <v>1216</v>
      </c>
      <c r="I6" s="31"/>
      <c r="J6" s="32" t="s">
        <v>995</v>
      </c>
      <c r="K6" s="32" t="b">
        <f t="shared" si="0"/>
        <v>0</v>
      </c>
      <c r="L6" s="31">
        <f t="shared" si="1"/>
        <v>0</v>
      </c>
      <c r="M6" s="33"/>
      <c r="N6" s="34"/>
    </row>
    <row r="7" spans="1:14" ht="16.5" customHeight="1" x14ac:dyDescent="0.25">
      <c r="A7" s="49" t="s">
        <v>243</v>
      </c>
      <c r="B7" s="35" t="s">
        <v>1080</v>
      </c>
      <c r="C7" s="70" t="s">
        <v>990</v>
      </c>
      <c r="D7" s="28" t="s">
        <v>668</v>
      </c>
      <c r="E7" s="36" t="s">
        <v>1081</v>
      </c>
      <c r="F7" s="36" t="s">
        <v>1082</v>
      </c>
      <c r="G7" s="28">
        <v>6312</v>
      </c>
      <c r="H7" s="28" t="s">
        <v>1217</v>
      </c>
      <c r="I7" s="31"/>
      <c r="J7" s="32" t="s">
        <v>1072</v>
      </c>
      <c r="K7" s="32" t="b">
        <f t="shared" si="0"/>
        <v>0</v>
      </c>
      <c r="L7" s="61">
        <f t="shared" si="1"/>
        <v>0</v>
      </c>
      <c r="M7" s="69"/>
      <c r="N7" s="34"/>
    </row>
    <row r="8" spans="1:14" ht="16.5" customHeight="1" x14ac:dyDescent="0.25">
      <c r="A8" s="49" t="s">
        <v>253</v>
      </c>
      <c r="B8" s="35" t="s">
        <v>1042</v>
      </c>
      <c r="C8" s="70" t="s">
        <v>990</v>
      </c>
      <c r="D8" s="28" t="s">
        <v>668</v>
      </c>
      <c r="E8" s="36" t="s">
        <v>1048</v>
      </c>
      <c r="F8" s="36" t="s">
        <v>1018</v>
      </c>
      <c r="G8" s="28"/>
      <c r="H8" s="28" t="s">
        <v>1217</v>
      </c>
      <c r="I8" s="31"/>
      <c r="J8" s="32" t="s">
        <v>1102</v>
      </c>
      <c r="K8" s="32" t="b">
        <f t="shared" si="0"/>
        <v>0</v>
      </c>
      <c r="L8" s="61">
        <f t="shared" si="1"/>
        <v>0</v>
      </c>
      <c r="M8" s="69"/>
      <c r="N8" s="34"/>
    </row>
    <row r="9" spans="1:14" ht="16.5" customHeight="1" x14ac:dyDescent="0.25">
      <c r="A9" s="49" t="s">
        <v>265</v>
      </c>
      <c r="B9" s="35" t="s">
        <v>1099</v>
      </c>
      <c r="C9" s="70" t="s">
        <v>990</v>
      </c>
      <c r="D9" s="28" t="s">
        <v>668</v>
      </c>
      <c r="E9" s="36" t="s">
        <v>1100</v>
      </c>
      <c r="F9" s="36" t="s">
        <v>1101</v>
      </c>
      <c r="G9" s="28"/>
      <c r="H9" s="28" t="s">
        <v>1217</v>
      </c>
      <c r="I9" s="31"/>
      <c r="J9" s="32" t="s">
        <v>995</v>
      </c>
      <c r="K9" s="32" t="b">
        <f t="shared" si="0"/>
        <v>0</v>
      </c>
      <c r="L9" s="61">
        <f t="shared" si="1"/>
        <v>0</v>
      </c>
      <c r="M9" s="69"/>
      <c r="N9" s="34"/>
    </row>
    <row r="10" spans="1:14" ht="16.5" customHeight="1" x14ac:dyDescent="0.25">
      <c r="A10" s="26" t="s">
        <v>234</v>
      </c>
      <c r="B10" s="35" t="s">
        <v>1238</v>
      </c>
      <c r="C10" s="27" t="s">
        <v>990</v>
      </c>
      <c r="D10" s="28" t="s">
        <v>668</v>
      </c>
      <c r="E10" s="36" t="s">
        <v>1066</v>
      </c>
      <c r="F10" s="36" t="s">
        <v>1069</v>
      </c>
      <c r="G10" s="30" t="s">
        <v>1067</v>
      </c>
      <c r="H10" s="28" t="s">
        <v>1217</v>
      </c>
      <c r="I10" s="93"/>
      <c r="J10" s="32" t="s">
        <v>1016</v>
      </c>
      <c r="K10" s="32" t="b">
        <f t="shared" si="0"/>
        <v>0</v>
      </c>
      <c r="L10" s="61">
        <f t="shared" si="1"/>
        <v>0</v>
      </c>
      <c r="M10" s="33"/>
      <c r="N10" s="34"/>
    </row>
    <row r="11" spans="1:14" ht="16.5" customHeight="1" x14ac:dyDescent="0.25">
      <c r="A11" s="26" t="s">
        <v>235</v>
      </c>
      <c r="B11" s="35" t="s">
        <v>1044</v>
      </c>
      <c r="C11" s="27" t="s">
        <v>990</v>
      </c>
      <c r="D11" s="28" t="s">
        <v>668</v>
      </c>
      <c r="E11" s="36" t="s">
        <v>1045</v>
      </c>
      <c r="F11" s="36" t="s">
        <v>1068</v>
      </c>
      <c r="G11" s="30" t="s">
        <v>1070</v>
      </c>
      <c r="H11" s="28" t="s">
        <v>1217</v>
      </c>
      <c r="I11" s="93"/>
      <c r="J11" s="32" t="s">
        <v>1016</v>
      </c>
      <c r="K11" s="32" t="b">
        <f t="shared" si="0"/>
        <v>0</v>
      </c>
      <c r="L11" s="61">
        <f t="shared" si="1"/>
        <v>0</v>
      </c>
      <c r="M11" s="33"/>
      <c r="N11" s="34"/>
    </row>
    <row r="12" spans="1:14" ht="16.5" customHeight="1" x14ac:dyDescent="0.25">
      <c r="A12" s="26" t="s">
        <v>236</v>
      </c>
      <c r="B12" s="35" t="s">
        <v>1042</v>
      </c>
      <c r="C12" s="27" t="s">
        <v>990</v>
      </c>
      <c r="D12" s="28" t="s">
        <v>668</v>
      </c>
      <c r="E12" s="36" t="s">
        <v>1048</v>
      </c>
      <c r="F12" s="36" t="s">
        <v>1071</v>
      </c>
      <c r="G12" s="30"/>
      <c r="H12" s="28" t="s">
        <v>1217</v>
      </c>
      <c r="I12" s="93"/>
      <c r="J12" s="32" t="s">
        <v>1072</v>
      </c>
      <c r="K12" s="32" t="b">
        <f t="shared" si="0"/>
        <v>0</v>
      </c>
      <c r="L12" s="61">
        <f t="shared" si="1"/>
        <v>0</v>
      </c>
      <c r="M12" s="33"/>
      <c r="N12" s="34"/>
    </row>
    <row r="13" spans="1:14" ht="16.5" customHeight="1" x14ac:dyDescent="0.25">
      <c r="A13" s="26" t="s">
        <v>249</v>
      </c>
      <c r="B13" s="35" t="s">
        <v>1091</v>
      </c>
      <c r="C13" s="27" t="s">
        <v>990</v>
      </c>
      <c r="D13" s="28" t="s">
        <v>668</v>
      </c>
      <c r="E13" s="36" t="s">
        <v>1092</v>
      </c>
      <c r="F13" s="36" t="s">
        <v>1093</v>
      </c>
      <c r="G13" s="30"/>
      <c r="H13" s="28" t="s">
        <v>1217</v>
      </c>
      <c r="I13" s="93"/>
      <c r="J13" s="32" t="s">
        <v>1072</v>
      </c>
      <c r="K13" s="32" t="b">
        <f t="shared" si="0"/>
        <v>0</v>
      </c>
      <c r="L13" s="61">
        <f t="shared" si="1"/>
        <v>0</v>
      </c>
      <c r="M13" s="33"/>
      <c r="N13" s="34"/>
    </row>
    <row r="14" spans="1:14" x14ac:dyDescent="0.25">
      <c r="A14" s="26" t="s">
        <v>251</v>
      </c>
      <c r="B14" s="52" t="s">
        <v>1097</v>
      </c>
      <c r="C14" s="27" t="s">
        <v>1062</v>
      </c>
      <c r="D14" s="28" t="s">
        <v>774</v>
      </c>
      <c r="E14" s="36" t="s">
        <v>1098</v>
      </c>
      <c r="F14" s="36" t="s">
        <v>928</v>
      </c>
      <c r="G14" s="30"/>
      <c r="H14" s="92" t="s">
        <v>1239</v>
      </c>
      <c r="I14" s="32"/>
      <c r="J14" s="32" t="s">
        <v>1072</v>
      </c>
      <c r="K14" s="32" t="b">
        <f t="shared" si="0"/>
        <v>0</v>
      </c>
      <c r="L14" s="61">
        <f t="shared" si="1"/>
        <v>0</v>
      </c>
      <c r="M14" s="33"/>
      <c r="N14" s="34"/>
    </row>
    <row r="15" spans="1:14" x14ac:dyDescent="0.25">
      <c r="A15" s="26" t="s">
        <v>252</v>
      </c>
      <c r="B15" s="35" t="s">
        <v>1099</v>
      </c>
      <c r="C15" s="27" t="s">
        <v>1062</v>
      </c>
      <c r="D15" s="28" t="s">
        <v>1009</v>
      </c>
      <c r="E15" s="36" t="s">
        <v>1100</v>
      </c>
      <c r="F15" s="36" t="s">
        <v>1101</v>
      </c>
      <c r="G15" s="30"/>
      <c r="H15" s="92" t="s">
        <v>1239</v>
      </c>
      <c r="I15" s="94"/>
      <c r="J15" s="32" t="s">
        <v>1072</v>
      </c>
      <c r="K15" s="32" t="b">
        <f t="shared" si="0"/>
        <v>0</v>
      </c>
      <c r="L15" s="61">
        <f t="shared" si="1"/>
        <v>0</v>
      </c>
      <c r="M15" s="33"/>
      <c r="N15" s="34"/>
    </row>
    <row r="16" spans="1:14" ht="86.25" x14ac:dyDescent="0.25">
      <c r="A16" s="26" t="s">
        <v>242</v>
      </c>
      <c r="B16" s="35" t="s">
        <v>1077</v>
      </c>
      <c r="C16" s="27" t="s">
        <v>1086</v>
      </c>
      <c r="D16" s="28" t="s">
        <v>1009</v>
      </c>
      <c r="E16" s="36" t="s">
        <v>1078</v>
      </c>
      <c r="F16" s="36" t="s">
        <v>1079</v>
      </c>
      <c r="G16" s="30">
        <v>14450</v>
      </c>
      <c r="H16" s="30" t="s">
        <v>1240</v>
      </c>
      <c r="I16" s="31"/>
      <c r="J16" s="32" t="s">
        <v>1016</v>
      </c>
      <c r="K16" s="32" t="b">
        <f t="shared" si="0"/>
        <v>0</v>
      </c>
      <c r="L16" s="61">
        <f t="shared" si="1"/>
        <v>0</v>
      </c>
      <c r="M16" s="33"/>
      <c r="N16" s="34"/>
    </row>
    <row r="17" spans="1:14" ht="86.25" x14ac:dyDescent="0.25">
      <c r="A17" s="26" t="s">
        <v>257</v>
      </c>
      <c r="B17" s="35" t="s">
        <v>1073</v>
      </c>
      <c r="C17" s="27" t="s">
        <v>1086</v>
      </c>
      <c r="D17" s="28" t="s">
        <v>1009</v>
      </c>
      <c r="E17" s="36" t="s">
        <v>1087</v>
      </c>
      <c r="F17" s="36" t="s">
        <v>1018</v>
      </c>
      <c r="G17" s="30"/>
      <c r="H17" s="92" t="s">
        <v>1241</v>
      </c>
      <c r="I17" s="94"/>
      <c r="J17" s="32" t="s">
        <v>1064</v>
      </c>
      <c r="K17" s="32" t="b">
        <f>IF(J17="b","0,6",IF(J17="r","0,2",IF(J17="o",0.8)))</f>
        <v>0</v>
      </c>
      <c r="L17" s="61">
        <f t="shared" si="1"/>
        <v>0</v>
      </c>
      <c r="M17" s="33"/>
      <c r="N17" s="34"/>
    </row>
    <row r="18" spans="1:14" ht="16.5" customHeight="1" x14ac:dyDescent="0.25">
      <c r="A18" s="26" t="s">
        <v>290</v>
      </c>
      <c r="B18" s="35" t="s">
        <v>1146</v>
      </c>
      <c r="C18" s="27" t="s">
        <v>830</v>
      </c>
      <c r="D18" s="28" t="s">
        <v>979</v>
      </c>
      <c r="E18" s="36" t="s">
        <v>1143</v>
      </c>
      <c r="F18" s="36" t="s">
        <v>1144</v>
      </c>
      <c r="G18" s="30" t="s">
        <v>1145</v>
      </c>
      <c r="H18" s="28" t="s">
        <v>1217</v>
      </c>
      <c r="I18" s="32"/>
      <c r="J18" s="32" t="s">
        <v>995</v>
      </c>
      <c r="K18" s="32" t="b">
        <f t="shared" si="0"/>
        <v>0</v>
      </c>
      <c r="L18" s="61">
        <f t="shared" si="1"/>
        <v>0</v>
      </c>
      <c r="M18" s="33"/>
      <c r="N18" s="34"/>
    </row>
    <row r="19" spans="1:14" ht="16.5" customHeight="1" x14ac:dyDescent="0.25">
      <c r="A19" s="26" t="s">
        <v>294</v>
      </c>
      <c r="B19" s="35" t="s">
        <v>1146</v>
      </c>
      <c r="C19" s="27" t="s">
        <v>830</v>
      </c>
      <c r="D19" s="28" t="s">
        <v>979</v>
      </c>
      <c r="E19" s="36" t="s">
        <v>947</v>
      </c>
      <c r="F19" s="36" t="s">
        <v>1144</v>
      </c>
      <c r="G19" s="30" t="s">
        <v>1145</v>
      </c>
      <c r="H19" s="30" t="s">
        <v>1265</v>
      </c>
      <c r="I19" s="31"/>
      <c r="J19" s="32" t="s">
        <v>1016</v>
      </c>
      <c r="K19" s="32" t="b">
        <f t="shared" si="0"/>
        <v>0</v>
      </c>
      <c r="L19" s="61">
        <f t="shared" si="1"/>
        <v>0</v>
      </c>
      <c r="M19" s="33"/>
      <c r="N19" s="34"/>
    </row>
    <row r="20" spans="1:14" x14ac:dyDescent="0.25">
      <c r="A20" s="26" t="s">
        <v>352</v>
      </c>
      <c r="B20" s="35" t="s">
        <v>1223</v>
      </c>
      <c r="C20" s="27" t="s">
        <v>1226</v>
      </c>
      <c r="D20" s="28" t="s">
        <v>774</v>
      </c>
      <c r="E20" s="36" t="s">
        <v>1224</v>
      </c>
      <c r="F20" s="36" t="s">
        <v>1225</v>
      </c>
      <c r="G20" s="30" t="s">
        <v>840</v>
      </c>
      <c r="H20" s="30" t="s">
        <v>1217</v>
      </c>
      <c r="I20" s="32"/>
      <c r="J20" s="32" t="s">
        <v>995</v>
      </c>
      <c r="K20" s="32" t="b">
        <f t="shared" si="0"/>
        <v>0</v>
      </c>
      <c r="L20" s="61">
        <f t="shared" si="1"/>
        <v>0</v>
      </c>
      <c r="M20" s="33"/>
      <c r="N20" s="34"/>
    </row>
    <row r="21" spans="1:14" x14ac:dyDescent="0.25">
      <c r="A21" s="26" t="s">
        <v>354</v>
      </c>
      <c r="B21" s="35" t="s">
        <v>1223</v>
      </c>
      <c r="C21" s="27" t="s">
        <v>990</v>
      </c>
      <c r="D21" s="28" t="s">
        <v>668</v>
      </c>
      <c r="E21" s="36" t="s">
        <v>1224</v>
      </c>
      <c r="F21" s="36" t="s">
        <v>1225</v>
      </c>
      <c r="G21" s="30" t="s">
        <v>840</v>
      </c>
      <c r="H21" s="30" t="s">
        <v>1217</v>
      </c>
      <c r="I21" s="32"/>
      <c r="J21" s="32" t="s">
        <v>995</v>
      </c>
      <c r="K21" s="32" t="b">
        <f t="shared" si="0"/>
        <v>0</v>
      </c>
      <c r="L21" s="61">
        <f t="shared" si="1"/>
        <v>0</v>
      </c>
      <c r="M21" s="33"/>
      <c r="N21" s="34"/>
    </row>
    <row r="22" spans="1:14" x14ac:dyDescent="0.25">
      <c r="A22" s="26" t="s">
        <v>356</v>
      </c>
      <c r="B22" s="35" t="s">
        <v>1223</v>
      </c>
      <c r="C22" s="27" t="s">
        <v>1062</v>
      </c>
      <c r="D22" s="28" t="s">
        <v>774</v>
      </c>
      <c r="E22" s="36" t="s">
        <v>1224</v>
      </c>
      <c r="F22" s="36" t="s">
        <v>1225</v>
      </c>
      <c r="G22" s="30" t="s">
        <v>840</v>
      </c>
      <c r="H22" s="30" t="s">
        <v>1217</v>
      </c>
      <c r="I22" s="32"/>
      <c r="J22" s="32" t="s">
        <v>995</v>
      </c>
      <c r="K22" s="32" t="b">
        <f t="shared" si="0"/>
        <v>0</v>
      </c>
      <c r="L22" s="61">
        <f t="shared" si="1"/>
        <v>0</v>
      </c>
      <c r="M22" s="33"/>
      <c r="N22" s="34"/>
    </row>
    <row r="23" spans="1:14" ht="16.5" customHeight="1" x14ac:dyDescent="0.25">
      <c r="A23" s="26" t="s">
        <v>60</v>
      </c>
      <c r="B23" s="35" t="s">
        <v>733</v>
      </c>
      <c r="C23" s="27" t="s">
        <v>954</v>
      </c>
      <c r="D23" s="28" t="s">
        <v>1112</v>
      </c>
      <c r="E23" s="36" t="s">
        <v>734</v>
      </c>
      <c r="F23" s="36" t="s">
        <v>664</v>
      </c>
      <c r="G23" s="30" t="s">
        <v>735</v>
      </c>
      <c r="H23" s="30" t="s">
        <v>1268</v>
      </c>
      <c r="I23" s="31">
        <v>180</v>
      </c>
      <c r="J23" s="32" t="s">
        <v>995</v>
      </c>
      <c r="K23" s="32" t="b">
        <f t="shared" si="0"/>
        <v>0</v>
      </c>
      <c r="L23" s="61">
        <f>K23*I23</f>
        <v>0</v>
      </c>
      <c r="M23" s="33"/>
      <c r="N23" s="34"/>
    </row>
    <row r="24" spans="1:14" ht="16.5" customHeight="1" x14ac:dyDescent="0.25">
      <c r="A24" s="26" t="s">
        <v>83</v>
      </c>
      <c r="B24" s="35" t="s">
        <v>751</v>
      </c>
      <c r="C24" s="27" t="s">
        <v>631</v>
      </c>
      <c r="D24" s="28" t="s">
        <v>1005</v>
      </c>
      <c r="E24" s="36" t="s">
        <v>686</v>
      </c>
      <c r="F24" s="36" t="s">
        <v>703</v>
      </c>
      <c r="G24" s="30">
        <v>107896637609296</v>
      </c>
      <c r="H24" s="30" t="s">
        <v>1217</v>
      </c>
      <c r="I24" s="32"/>
      <c r="J24" s="32" t="b">
        <f>IF(I24="b","0,6",IF(I24="r","0,2",IF(I24="o",0.8)))</f>
        <v>0</v>
      </c>
      <c r="K24" s="32" t="b">
        <f t="shared" si="0"/>
        <v>0</v>
      </c>
      <c r="L24" s="61">
        <f t="shared" si="1"/>
        <v>0</v>
      </c>
      <c r="M24" s="33"/>
      <c r="N24" s="34"/>
    </row>
    <row r="25" spans="1:14" ht="16.5" customHeight="1" x14ac:dyDescent="0.25">
      <c r="A25" s="26" t="s">
        <v>27</v>
      </c>
      <c r="B25" s="35" t="s">
        <v>665</v>
      </c>
      <c r="C25" s="27" t="s">
        <v>653</v>
      </c>
      <c r="D25" s="28" t="s">
        <v>1005</v>
      </c>
      <c r="E25" s="36" t="s">
        <v>666</v>
      </c>
      <c r="F25" s="36"/>
      <c r="G25" s="30" t="s">
        <v>667</v>
      </c>
      <c r="H25" s="30" t="s">
        <v>1217</v>
      </c>
      <c r="I25" s="31"/>
      <c r="J25" s="32" t="s">
        <v>1102</v>
      </c>
      <c r="K25" s="32" t="b">
        <f t="shared" si="0"/>
        <v>0</v>
      </c>
      <c r="L25" s="61">
        <f t="shared" si="1"/>
        <v>0</v>
      </c>
      <c r="M25" s="33"/>
      <c r="N25" s="34"/>
    </row>
    <row r="26" spans="1:14" ht="16.5" customHeight="1" x14ac:dyDescent="0.25">
      <c r="A26" s="26" t="s">
        <v>239</v>
      </c>
      <c r="B26" s="35" t="s">
        <v>1077</v>
      </c>
      <c r="C26" s="27" t="s">
        <v>1062</v>
      </c>
      <c r="D26" s="28" t="s">
        <v>1009</v>
      </c>
      <c r="E26" s="36" t="s">
        <v>1078</v>
      </c>
      <c r="F26" s="36" t="s">
        <v>1079</v>
      </c>
      <c r="G26" s="30">
        <v>14450</v>
      </c>
      <c r="H26" s="41" t="s">
        <v>1217</v>
      </c>
      <c r="I26" s="31"/>
      <c r="J26" s="32" t="s">
        <v>1102</v>
      </c>
      <c r="K26" s="32" t="b">
        <f t="shared" si="0"/>
        <v>0</v>
      </c>
      <c r="L26" s="61">
        <f t="shared" si="1"/>
        <v>0</v>
      </c>
      <c r="M26" s="33"/>
      <c r="N26" s="34"/>
    </row>
    <row r="27" spans="1:14" ht="16.5" customHeight="1" x14ac:dyDescent="0.25">
      <c r="A27" s="26" t="s">
        <v>199</v>
      </c>
      <c r="B27" s="35" t="s">
        <v>997</v>
      </c>
      <c r="C27" s="27" t="s">
        <v>990</v>
      </c>
      <c r="D27" s="28" t="s">
        <v>668</v>
      </c>
      <c r="E27" s="36" t="s">
        <v>998</v>
      </c>
      <c r="F27" s="36" t="s">
        <v>786</v>
      </c>
      <c r="G27" s="30">
        <v>1682597</v>
      </c>
      <c r="H27" s="30" t="s">
        <v>1269</v>
      </c>
      <c r="I27" s="31"/>
      <c r="J27" s="32"/>
      <c r="K27" s="32" t="b">
        <f t="shared" si="0"/>
        <v>0</v>
      </c>
      <c r="L27" s="61">
        <f t="shared" si="1"/>
        <v>0</v>
      </c>
      <c r="M27" s="33"/>
      <c r="N27" s="34"/>
    </row>
    <row r="28" spans="1:14" ht="16.5" customHeight="1" x14ac:dyDescent="0.25">
      <c r="A28" s="26" t="s">
        <v>227</v>
      </c>
      <c r="B28" s="35" t="s">
        <v>1049</v>
      </c>
      <c r="C28" s="27" t="s">
        <v>990</v>
      </c>
      <c r="D28" s="28" t="s">
        <v>668</v>
      </c>
      <c r="E28" s="36" t="s">
        <v>1050</v>
      </c>
      <c r="F28" s="36" t="s">
        <v>1018</v>
      </c>
      <c r="G28" s="30" t="s">
        <v>1051</v>
      </c>
      <c r="H28" s="30" t="s">
        <v>1269</v>
      </c>
      <c r="I28" s="31"/>
      <c r="J28" s="32"/>
      <c r="K28" s="32" t="b">
        <f t="shared" si="0"/>
        <v>0</v>
      </c>
      <c r="L28" s="61">
        <f t="shared" si="1"/>
        <v>0</v>
      </c>
      <c r="M28" s="33"/>
      <c r="N28" s="34"/>
    </row>
    <row r="29" spans="1:14" ht="16.5" customHeight="1" x14ac:dyDescent="0.25">
      <c r="A29" s="26" t="s">
        <v>271</v>
      </c>
      <c r="B29" s="35" t="s">
        <v>1076</v>
      </c>
      <c r="C29" s="27" t="s">
        <v>990</v>
      </c>
      <c r="D29" s="28" t="s">
        <v>668</v>
      </c>
      <c r="E29" s="36" t="s">
        <v>1116</v>
      </c>
      <c r="F29" s="36" t="s">
        <v>1075</v>
      </c>
      <c r="G29" s="30"/>
      <c r="H29" s="41" t="s">
        <v>1269</v>
      </c>
      <c r="I29" s="31"/>
      <c r="J29" s="32"/>
      <c r="K29" s="32" t="b">
        <f t="shared" si="0"/>
        <v>0</v>
      </c>
      <c r="L29" s="61">
        <f t="shared" si="1"/>
        <v>0</v>
      </c>
      <c r="M29" s="33"/>
      <c r="N29" s="34"/>
    </row>
    <row r="30" spans="1:14" ht="16.5" customHeight="1" x14ac:dyDescent="0.25">
      <c r="A30" s="26" t="s">
        <v>272</v>
      </c>
      <c r="B30" s="35" t="s">
        <v>1073</v>
      </c>
      <c r="C30" s="27" t="s">
        <v>990</v>
      </c>
      <c r="D30" s="28" t="s">
        <v>668</v>
      </c>
      <c r="E30" s="36" t="s">
        <v>1074</v>
      </c>
      <c r="F30" s="36" t="s">
        <v>1075</v>
      </c>
      <c r="G30" s="30"/>
      <c r="H30" s="30" t="s">
        <v>1269</v>
      </c>
      <c r="I30" s="31"/>
      <c r="J30" s="32"/>
      <c r="K30" s="32" t="b">
        <f t="shared" si="0"/>
        <v>0</v>
      </c>
      <c r="L30" s="61">
        <f t="shared" si="1"/>
        <v>0</v>
      </c>
      <c r="M30" s="33"/>
      <c r="N30" s="34"/>
    </row>
    <row r="31" spans="1:14" ht="16.5" customHeight="1" x14ac:dyDescent="0.25">
      <c r="A31" s="26" t="s">
        <v>273</v>
      </c>
      <c r="B31" s="35" t="s">
        <v>1073</v>
      </c>
      <c r="C31" s="27" t="s">
        <v>990</v>
      </c>
      <c r="D31" s="28" t="s">
        <v>668</v>
      </c>
      <c r="E31" s="36" t="s">
        <v>1116</v>
      </c>
      <c r="F31" s="36" t="s">
        <v>1075</v>
      </c>
      <c r="G31" s="30"/>
      <c r="H31" s="30" t="s">
        <v>1269</v>
      </c>
      <c r="I31" s="31"/>
      <c r="J31" s="32"/>
      <c r="K31" s="32" t="b">
        <f t="shared" si="0"/>
        <v>0</v>
      </c>
      <c r="L31" s="61">
        <f t="shared" si="1"/>
        <v>0</v>
      </c>
      <c r="M31" s="33"/>
      <c r="N31" s="34"/>
    </row>
    <row r="32" spans="1:14" ht="16.5" customHeight="1" x14ac:dyDescent="0.25">
      <c r="A32" s="26" t="s">
        <v>110</v>
      </c>
      <c r="B32" s="35" t="s">
        <v>807</v>
      </c>
      <c r="C32" s="27" t="s">
        <v>773</v>
      </c>
      <c r="D32" s="28" t="s">
        <v>979</v>
      </c>
      <c r="E32" s="36"/>
      <c r="F32" s="36" t="s">
        <v>786</v>
      </c>
      <c r="G32" s="30"/>
      <c r="H32" s="30" t="s">
        <v>1268</v>
      </c>
      <c r="I32" s="31"/>
      <c r="J32" s="32"/>
      <c r="K32" s="32" t="b">
        <f t="shared" si="0"/>
        <v>0</v>
      </c>
      <c r="L32" s="61">
        <f t="shared" si="1"/>
        <v>0</v>
      </c>
      <c r="M32" s="33"/>
      <c r="N32" s="34"/>
    </row>
    <row r="33" spans="1:14" ht="16.5" customHeight="1" x14ac:dyDescent="0.25">
      <c r="A33" s="26" t="s">
        <v>324</v>
      </c>
      <c r="B33" s="97" t="s">
        <v>1196</v>
      </c>
      <c r="C33" s="98" t="s">
        <v>957</v>
      </c>
      <c r="D33" s="99" t="s">
        <v>774</v>
      </c>
      <c r="E33" s="99" t="s">
        <v>1197</v>
      </c>
      <c r="F33" s="99" t="s">
        <v>1198</v>
      </c>
      <c r="G33" s="30"/>
      <c r="H33" s="30" t="s">
        <v>1270</v>
      </c>
      <c r="I33" s="31"/>
      <c r="J33" s="32"/>
      <c r="K33" s="32" t="b">
        <f t="shared" si="0"/>
        <v>0</v>
      </c>
      <c r="L33" s="61">
        <f t="shared" si="1"/>
        <v>0</v>
      </c>
      <c r="M33" s="33"/>
      <c r="N33" s="34"/>
    </row>
    <row r="34" spans="1:14" ht="16.5" customHeight="1" x14ac:dyDescent="0.25">
      <c r="A34" s="26" t="s">
        <v>163</v>
      </c>
      <c r="B34" s="35" t="s">
        <v>902</v>
      </c>
      <c r="C34" s="27" t="s">
        <v>764</v>
      </c>
      <c r="D34" s="28" t="s">
        <v>982</v>
      </c>
      <c r="E34" s="36"/>
      <c r="F34" s="36"/>
      <c r="G34" s="30"/>
      <c r="H34" s="31"/>
      <c r="I34" s="32"/>
      <c r="J34" s="32" t="b">
        <f>IF(I34="b","0,6",IF(I34="r","0,2",IF(I34="o",0.8)))</f>
        <v>0</v>
      </c>
      <c r="K34" s="31">
        <f>J34*H34</f>
        <v>0</v>
      </c>
      <c r="L34" s="33"/>
      <c r="M34" s="33"/>
      <c r="N34" s="34"/>
    </row>
    <row r="35" spans="1:14" ht="16.5" customHeight="1" x14ac:dyDescent="0.25">
      <c r="A35" s="26" t="s">
        <v>99</v>
      </c>
      <c r="B35" s="35" t="s">
        <v>794</v>
      </c>
      <c r="C35" s="27" t="s">
        <v>773</v>
      </c>
      <c r="D35" s="28" t="s">
        <v>979</v>
      </c>
      <c r="E35" s="36"/>
      <c r="F35" s="36" t="s">
        <v>782</v>
      </c>
      <c r="G35" s="30"/>
      <c r="H35" s="30" t="s">
        <v>1134</v>
      </c>
      <c r="I35" s="31"/>
      <c r="J35" s="32"/>
      <c r="K35" s="32" t="b">
        <f t="shared" si="0"/>
        <v>0</v>
      </c>
      <c r="L35" s="61">
        <f t="shared" si="1"/>
        <v>0</v>
      </c>
      <c r="M35" s="33"/>
      <c r="N35" s="34"/>
    </row>
    <row r="36" spans="1:14" ht="16.5" customHeight="1" x14ac:dyDescent="0.25">
      <c r="A36" s="26" t="s">
        <v>167</v>
      </c>
      <c r="B36" s="35" t="s">
        <v>849</v>
      </c>
      <c r="C36" s="27" t="s">
        <v>906</v>
      </c>
      <c r="D36" s="28" t="s">
        <v>909</v>
      </c>
      <c r="E36" s="36" t="s">
        <v>914</v>
      </c>
      <c r="F36" s="36" t="s">
        <v>688</v>
      </c>
      <c r="G36" s="30" t="s">
        <v>915</v>
      </c>
      <c r="H36" s="30" t="s">
        <v>1284</v>
      </c>
      <c r="I36" s="31"/>
      <c r="J36" s="32"/>
      <c r="K36" s="32" t="b">
        <f t="shared" si="0"/>
        <v>0</v>
      </c>
      <c r="L36" s="61">
        <f t="shared" si="1"/>
        <v>0</v>
      </c>
      <c r="M36" s="33"/>
      <c r="N36" s="34"/>
    </row>
    <row r="37" spans="1:14" ht="16.5" customHeight="1" x14ac:dyDescent="0.25">
      <c r="A37" s="26" t="s">
        <v>169</v>
      </c>
      <c r="B37" s="35" t="s">
        <v>838</v>
      </c>
      <c r="C37" s="27" t="s">
        <v>906</v>
      </c>
      <c r="D37" s="28" t="s">
        <v>909</v>
      </c>
      <c r="E37" s="36" t="s">
        <v>839</v>
      </c>
      <c r="F37" s="36" t="s">
        <v>664</v>
      </c>
      <c r="G37" s="30" t="s">
        <v>840</v>
      </c>
      <c r="H37" s="30" t="s">
        <v>1284</v>
      </c>
      <c r="I37" s="31"/>
      <c r="J37" s="32"/>
      <c r="K37" s="32" t="b">
        <f t="shared" si="0"/>
        <v>0</v>
      </c>
      <c r="L37" s="61">
        <f t="shared" si="1"/>
        <v>0</v>
      </c>
      <c r="M37" s="33"/>
      <c r="N37" s="34"/>
    </row>
    <row r="38" spans="1:14" ht="16.5" customHeight="1" x14ac:dyDescent="0.25">
      <c r="A38" s="26" t="s">
        <v>170</v>
      </c>
      <c r="B38" s="35" t="s">
        <v>938</v>
      </c>
      <c r="C38" s="27" t="s">
        <v>830</v>
      </c>
      <c r="D38" s="28" t="s">
        <v>979</v>
      </c>
      <c r="E38" s="36">
        <v>237</v>
      </c>
      <c r="F38" s="36" t="s">
        <v>927</v>
      </c>
      <c r="G38" s="30">
        <v>11330187</v>
      </c>
      <c r="H38" s="30" t="s">
        <v>1268</v>
      </c>
      <c r="I38" s="31"/>
      <c r="J38" s="32"/>
      <c r="K38" s="32" t="b">
        <f t="shared" si="0"/>
        <v>0</v>
      </c>
      <c r="L38" s="61">
        <f t="shared" si="1"/>
        <v>0</v>
      </c>
      <c r="M38" s="33"/>
      <c r="N38" s="34"/>
    </row>
    <row r="39" spans="1:14" ht="16.5" customHeight="1" x14ac:dyDescent="0.25">
      <c r="A39" s="26" t="s">
        <v>148</v>
      </c>
      <c r="B39" s="45" t="s">
        <v>867</v>
      </c>
      <c r="C39" s="27" t="s">
        <v>830</v>
      </c>
      <c r="D39" s="28" t="s">
        <v>1212</v>
      </c>
      <c r="E39" s="53" t="s">
        <v>868</v>
      </c>
      <c r="F39" s="53" t="s">
        <v>869</v>
      </c>
      <c r="G39" s="30"/>
      <c r="H39" s="30" t="s">
        <v>1217</v>
      </c>
      <c r="I39" s="31">
        <v>1500</v>
      </c>
      <c r="J39" s="32" t="s">
        <v>1016</v>
      </c>
      <c r="K39" s="32" t="b">
        <f t="shared" si="0"/>
        <v>0</v>
      </c>
      <c r="L39" s="61">
        <f t="shared" si="1"/>
        <v>0</v>
      </c>
      <c r="M39" s="33"/>
    </row>
    <row r="40" spans="1:14" ht="16.5" customHeight="1" x14ac:dyDescent="0.25">
      <c r="A40" s="26" t="s">
        <v>179</v>
      </c>
      <c r="B40" s="35" t="s">
        <v>946</v>
      </c>
      <c r="C40" s="27" t="s">
        <v>773</v>
      </c>
      <c r="D40" s="28" t="s">
        <v>1212</v>
      </c>
      <c r="E40" s="36" t="s">
        <v>947</v>
      </c>
      <c r="F40" s="36" t="s">
        <v>1144</v>
      </c>
      <c r="G40" s="30" t="s">
        <v>1145</v>
      </c>
      <c r="H40" s="30" t="s">
        <v>1217</v>
      </c>
      <c r="I40" s="32"/>
      <c r="J40" s="32" t="s">
        <v>1016</v>
      </c>
      <c r="K40" s="32" t="b">
        <f t="shared" si="0"/>
        <v>0</v>
      </c>
      <c r="L40" s="61">
        <f t="shared" si="1"/>
        <v>0</v>
      </c>
      <c r="M40" s="33"/>
    </row>
    <row r="41" spans="1:14" ht="16.5" customHeight="1" x14ac:dyDescent="0.25">
      <c r="A41" s="26" t="s">
        <v>286</v>
      </c>
      <c r="B41" s="35" t="s">
        <v>640</v>
      </c>
      <c r="C41" s="27" t="s">
        <v>1135</v>
      </c>
      <c r="D41" s="28" t="s">
        <v>1005</v>
      </c>
      <c r="E41" s="36" t="s">
        <v>1136</v>
      </c>
      <c r="F41" s="36" t="s">
        <v>960</v>
      </c>
      <c r="G41" s="30" t="s">
        <v>959</v>
      </c>
      <c r="H41" s="30" t="s">
        <v>1217</v>
      </c>
      <c r="I41" s="32"/>
      <c r="J41" s="32" t="s">
        <v>1016</v>
      </c>
      <c r="K41" s="32" t="b">
        <f t="shared" si="0"/>
        <v>0</v>
      </c>
      <c r="L41" s="61">
        <f t="shared" si="1"/>
        <v>0</v>
      </c>
      <c r="M41" s="33"/>
      <c r="N41" s="34"/>
    </row>
    <row r="42" spans="1:14" x14ac:dyDescent="0.25">
      <c r="A42" s="26" t="s">
        <v>367</v>
      </c>
      <c r="B42" s="35" t="s">
        <v>1077</v>
      </c>
      <c r="C42" s="27" t="s">
        <v>990</v>
      </c>
      <c r="D42" s="28" t="s">
        <v>668</v>
      </c>
      <c r="E42" s="36" t="s">
        <v>1078</v>
      </c>
      <c r="F42" s="36" t="s">
        <v>1079</v>
      </c>
      <c r="G42" s="30">
        <v>14450</v>
      </c>
      <c r="H42" s="30" t="s">
        <v>1347</v>
      </c>
      <c r="I42" s="31"/>
      <c r="J42" s="32" t="s">
        <v>1102</v>
      </c>
      <c r="K42" s="32" t="b">
        <f t="shared" si="0"/>
        <v>0</v>
      </c>
      <c r="L42" s="61">
        <f t="shared" si="1"/>
        <v>0</v>
      </c>
      <c r="M42" s="33"/>
      <c r="N42" s="34"/>
    </row>
    <row r="43" spans="1:14" x14ac:dyDescent="0.25">
      <c r="A43" s="26" t="s">
        <v>245</v>
      </c>
      <c r="B43" s="35" t="s">
        <v>1073</v>
      </c>
      <c r="C43" s="27" t="s">
        <v>990</v>
      </c>
      <c r="D43" s="28" t="s">
        <v>668</v>
      </c>
      <c r="E43" s="36" t="s">
        <v>1087</v>
      </c>
      <c r="F43" s="36" t="s">
        <v>1075</v>
      </c>
      <c r="G43" s="41"/>
      <c r="H43" s="41" t="s">
        <v>1347</v>
      </c>
      <c r="I43" s="31"/>
      <c r="J43" s="32" t="s">
        <v>1016</v>
      </c>
      <c r="K43" s="32" t="b">
        <f t="shared" si="0"/>
        <v>0</v>
      </c>
      <c r="L43" s="61">
        <f t="shared" si="1"/>
        <v>0</v>
      </c>
      <c r="M43" s="33"/>
      <c r="N43" s="34"/>
    </row>
    <row r="44" spans="1:14" x14ac:dyDescent="0.25">
      <c r="A44" s="26" t="s">
        <v>247</v>
      </c>
      <c r="B44" s="35" t="s">
        <v>1073</v>
      </c>
      <c r="C44" s="27" t="s">
        <v>990</v>
      </c>
      <c r="D44" s="28" t="s">
        <v>668</v>
      </c>
      <c r="E44" s="36" t="s">
        <v>1089</v>
      </c>
      <c r="F44" s="36" t="s">
        <v>1075</v>
      </c>
      <c r="G44" s="30"/>
      <c r="H44" s="41" t="s">
        <v>1347</v>
      </c>
      <c r="I44" s="31"/>
      <c r="J44" s="32" t="s">
        <v>1016</v>
      </c>
      <c r="K44" s="32" t="b">
        <f t="shared" si="0"/>
        <v>0</v>
      </c>
      <c r="L44" s="61">
        <f t="shared" si="1"/>
        <v>0</v>
      </c>
      <c r="M44" s="33"/>
      <c r="N44" s="34"/>
    </row>
    <row r="45" spans="1:14" x14ac:dyDescent="0.25">
      <c r="A45" s="26" t="s">
        <v>237</v>
      </c>
      <c r="B45" s="35" t="s">
        <v>1073</v>
      </c>
      <c r="C45" s="27" t="s">
        <v>990</v>
      </c>
      <c r="D45" s="28" t="s">
        <v>668</v>
      </c>
      <c r="E45" s="36" t="s">
        <v>1074</v>
      </c>
      <c r="F45" s="36" t="s">
        <v>1075</v>
      </c>
      <c r="G45" s="30"/>
      <c r="H45" s="41" t="s">
        <v>1347</v>
      </c>
      <c r="I45" s="31"/>
      <c r="J45" s="32" t="s">
        <v>1016</v>
      </c>
      <c r="K45" s="32" t="b">
        <f t="shared" si="0"/>
        <v>0</v>
      </c>
      <c r="L45" s="61">
        <f t="shared" si="1"/>
        <v>0</v>
      </c>
      <c r="M45" s="33"/>
      <c r="N45" s="34"/>
    </row>
    <row r="46" spans="1:14" x14ac:dyDescent="0.25">
      <c r="A46" s="26" t="s">
        <v>246</v>
      </c>
      <c r="B46" s="35" t="s">
        <v>1076</v>
      </c>
      <c r="C46" s="27" t="s">
        <v>990</v>
      </c>
      <c r="D46" s="28" t="s">
        <v>668</v>
      </c>
      <c r="E46" s="36" t="s">
        <v>1088</v>
      </c>
      <c r="F46" s="36" t="s">
        <v>1075</v>
      </c>
      <c r="G46" s="30"/>
      <c r="H46" s="41" t="s">
        <v>1347</v>
      </c>
      <c r="I46" s="31"/>
      <c r="J46" s="32" t="s">
        <v>1016</v>
      </c>
      <c r="K46" s="32" t="b">
        <f t="shared" si="0"/>
        <v>0</v>
      </c>
      <c r="L46" s="61">
        <f t="shared" si="1"/>
        <v>0</v>
      </c>
      <c r="M46" s="33"/>
      <c r="N46" s="34"/>
    </row>
    <row r="47" spans="1:14" x14ac:dyDescent="0.25">
      <c r="A47" s="26" t="s">
        <v>248</v>
      </c>
      <c r="B47" s="35" t="s">
        <v>1076</v>
      </c>
      <c r="C47" s="27" t="s">
        <v>990</v>
      </c>
      <c r="D47" s="28" t="s">
        <v>668</v>
      </c>
      <c r="E47" s="36" t="s">
        <v>1090</v>
      </c>
      <c r="F47" s="36" t="s">
        <v>1075</v>
      </c>
      <c r="G47" s="30"/>
      <c r="H47" s="41" t="s">
        <v>1347</v>
      </c>
      <c r="I47" s="31"/>
      <c r="J47" s="32" t="s">
        <v>1016</v>
      </c>
      <c r="K47" s="32" t="b">
        <f t="shared" si="0"/>
        <v>0</v>
      </c>
      <c r="L47" s="61">
        <f t="shared" si="1"/>
        <v>0</v>
      </c>
      <c r="M47" s="33"/>
      <c r="N47" s="34"/>
    </row>
    <row r="48" spans="1:14" x14ac:dyDescent="0.25">
      <c r="A48" s="26" t="s">
        <v>127</v>
      </c>
      <c r="B48" s="101" t="s">
        <v>749</v>
      </c>
      <c r="C48" s="27" t="s">
        <v>820</v>
      </c>
      <c r="D48" s="28" t="s">
        <v>980</v>
      </c>
      <c r="E48" s="36" t="s">
        <v>826</v>
      </c>
      <c r="F48" s="36" t="s">
        <v>688</v>
      </c>
      <c r="G48" s="30" t="s">
        <v>827</v>
      </c>
      <c r="H48" s="41" t="s">
        <v>1347</v>
      </c>
      <c r="I48" s="31">
        <v>1200</v>
      </c>
      <c r="J48" s="32" t="s">
        <v>1016</v>
      </c>
      <c r="K48" s="32" t="b">
        <f t="shared" si="0"/>
        <v>0</v>
      </c>
      <c r="L48" s="61">
        <f t="shared" si="1"/>
        <v>0</v>
      </c>
      <c r="M48" s="33"/>
      <c r="N48" s="34"/>
    </row>
    <row r="49" spans="1:14" x14ac:dyDescent="0.25">
      <c r="A49" s="26" t="s">
        <v>238</v>
      </c>
      <c r="B49" s="35" t="s">
        <v>1076</v>
      </c>
      <c r="C49" s="27" t="s">
        <v>990</v>
      </c>
      <c r="D49" s="28" t="s">
        <v>668</v>
      </c>
      <c r="E49" s="36" t="s">
        <v>1074</v>
      </c>
      <c r="F49" s="36" t="s">
        <v>1075</v>
      </c>
      <c r="G49" s="30"/>
      <c r="H49" s="41" t="s">
        <v>1347</v>
      </c>
      <c r="I49" s="31"/>
      <c r="J49" s="32" t="s">
        <v>1016</v>
      </c>
      <c r="K49" s="32" t="b">
        <f t="shared" si="0"/>
        <v>0</v>
      </c>
      <c r="L49" s="61">
        <f t="shared" si="1"/>
        <v>0</v>
      </c>
      <c r="M49" s="33"/>
      <c r="N49" s="34"/>
    </row>
    <row r="50" spans="1:14" x14ac:dyDescent="0.25">
      <c r="A50" s="26" t="s">
        <v>261</v>
      </c>
      <c r="B50" s="35" t="s">
        <v>1055</v>
      </c>
      <c r="C50" s="27" t="s">
        <v>990</v>
      </c>
      <c r="D50" s="28" t="s">
        <v>668</v>
      </c>
      <c r="E50" s="36" t="s">
        <v>1105</v>
      </c>
      <c r="F50" s="36" t="s">
        <v>1106</v>
      </c>
      <c r="G50" s="30"/>
      <c r="H50" s="41" t="s">
        <v>1347</v>
      </c>
      <c r="I50" s="31"/>
      <c r="J50" s="32" t="s">
        <v>1102</v>
      </c>
      <c r="K50" s="32" t="b">
        <f t="shared" si="0"/>
        <v>0</v>
      </c>
      <c r="L50" s="61">
        <f t="shared" si="1"/>
        <v>0</v>
      </c>
      <c r="M50" s="33"/>
      <c r="N50" s="34"/>
    </row>
    <row r="51" spans="1:14" x14ac:dyDescent="0.25">
      <c r="A51" s="26" t="s">
        <v>364</v>
      </c>
      <c r="B51" s="35" t="s">
        <v>1044</v>
      </c>
      <c r="C51" s="27" t="s">
        <v>990</v>
      </c>
      <c r="D51" s="28" t="s">
        <v>668</v>
      </c>
      <c r="E51" s="36" t="s">
        <v>1045</v>
      </c>
      <c r="F51" s="36"/>
      <c r="G51" s="30"/>
      <c r="H51" s="41" t="s">
        <v>1347</v>
      </c>
      <c r="I51" s="31"/>
      <c r="J51" s="32" t="s">
        <v>1102</v>
      </c>
      <c r="K51" s="32" t="b">
        <f t="shared" si="0"/>
        <v>0</v>
      </c>
      <c r="L51" s="61">
        <f t="shared" si="1"/>
        <v>0</v>
      </c>
      <c r="M51" s="33"/>
      <c r="N51" s="34"/>
    </row>
    <row r="52" spans="1:14" ht="17.25" x14ac:dyDescent="0.25">
      <c r="A52" s="26" t="s">
        <v>336</v>
      </c>
      <c r="B52" s="35" t="s">
        <v>1099</v>
      </c>
      <c r="C52" s="70" t="s">
        <v>1395</v>
      </c>
      <c r="D52" s="28" t="s">
        <v>774</v>
      </c>
      <c r="E52" s="36" t="s">
        <v>1048</v>
      </c>
      <c r="F52" s="36" t="s">
        <v>1018</v>
      </c>
      <c r="G52" s="30"/>
      <c r="H52" s="41" t="s">
        <v>1394</v>
      </c>
      <c r="I52" s="31"/>
      <c r="J52" s="32" t="s">
        <v>1102</v>
      </c>
      <c r="K52" s="32" t="b">
        <f t="shared" si="0"/>
        <v>0</v>
      </c>
      <c r="L52" s="61">
        <f t="shared" si="1"/>
        <v>0</v>
      </c>
      <c r="M52" s="33"/>
      <c r="N52" s="34"/>
    </row>
    <row r="53" spans="1:14" x14ac:dyDescent="0.25">
      <c r="A53" s="26" t="s">
        <v>240</v>
      </c>
      <c r="B53" s="35" t="s">
        <v>1080</v>
      </c>
      <c r="C53" s="27" t="s">
        <v>990</v>
      </c>
      <c r="D53" s="28" t="s">
        <v>668</v>
      </c>
      <c r="E53" s="36" t="s">
        <v>1081</v>
      </c>
      <c r="F53" s="36" t="s">
        <v>1082</v>
      </c>
      <c r="G53" s="30">
        <v>6312</v>
      </c>
      <c r="H53" s="41" t="s">
        <v>1347</v>
      </c>
      <c r="I53" s="31"/>
      <c r="J53" s="32" t="s">
        <v>1016</v>
      </c>
      <c r="K53" s="32" t="b">
        <f t="shared" si="0"/>
        <v>0</v>
      </c>
      <c r="L53" s="61">
        <f t="shared" si="1"/>
        <v>0</v>
      </c>
      <c r="M53" s="33"/>
      <c r="N53" s="34"/>
    </row>
    <row r="54" spans="1:14" x14ac:dyDescent="0.25">
      <c r="A54" s="26" t="s">
        <v>363</v>
      </c>
      <c r="B54" s="35" t="s">
        <v>1238</v>
      </c>
      <c r="C54" s="27" t="s">
        <v>990</v>
      </c>
      <c r="D54" s="28" t="s">
        <v>668</v>
      </c>
      <c r="E54" s="36" t="s">
        <v>1066</v>
      </c>
      <c r="F54" s="36" t="s">
        <v>1069</v>
      </c>
      <c r="G54" s="30" t="s">
        <v>1067</v>
      </c>
      <c r="H54" s="41" t="s">
        <v>1347</v>
      </c>
      <c r="I54" s="31"/>
      <c r="J54" s="32" t="s">
        <v>1102</v>
      </c>
      <c r="K54" s="32" t="b">
        <f t="shared" si="0"/>
        <v>0</v>
      </c>
      <c r="L54" s="61">
        <f t="shared" si="1"/>
        <v>0</v>
      </c>
      <c r="M54" s="33"/>
      <c r="N54" s="34"/>
    </row>
    <row r="55" spans="1:14" x14ac:dyDescent="0.25">
      <c r="A55" s="26" t="s">
        <v>241</v>
      </c>
      <c r="B55" s="35" t="s">
        <v>1083</v>
      </c>
      <c r="C55" s="27" t="s">
        <v>990</v>
      </c>
      <c r="D55" s="28" t="s">
        <v>668</v>
      </c>
      <c r="E55" s="36" t="s">
        <v>1084</v>
      </c>
      <c r="F55" s="36" t="s">
        <v>1085</v>
      </c>
      <c r="G55" s="30"/>
      <c r="H55" s="41" t="s">
        <v>1347</v>
      </c>
      <c r="I55" s="31"/>
      <c r="J55" s="32" t="s">
        <v>1016</v>
      </c>
      <c r="K55" s="32" t="b">
        <f t="shared" si="0"/>
        <v>0</v>
      </c>
      <c r="L55" s="61">
        <f t="shared" si="1"/>
        <v>0</v>
      </c>
      <c r="M55" s="33"/>
      <c r="N55" s="34"/>
    </row>
    <row r="56" spans="1:14" ht="16.5" customHeight="1" x14ac:dyDescent="0.25">
      <c r="A56" s="26" t="s">
        <v>365</v>
      </c>
      <c r="B56" s="35"/>
      <c r="C56" s="27"/>
      <c r="D56" s="28"/>
      <c r="E56" s="36"/>
      <c r="F56" s="36"/>
      <c r="G56" s="30"/>
      <c r="H56" s="41" t="s">
        <v>1347</v>
      </c>
      <c r="I56" s="31"/>
      <c r="J56" s="32" t="s">
        <v>1016</v>
      </c>
      <c r="K56" s="32" t="b">
        <f t="shared" si="0"/>
        <v>0</v>
      </c>
      <c r="L56" s="61">
        <f t="shared" si="1"/>
        <v>0</v>
      </c>
      <c r="M56" s="33"/>
      <c r="N56" s="34"/>
    </row>
    <row r="57" spans="1:14" ht="16.5" customHeight="1" x14ac:dyDescent="0.25">
      <c r="A57" s="26" t="s">
        <v>259</v>
      </c>
      <c r="B57" s="35" t="s">
        <v>1073</v>
      </c>
      <c r="C57" s="27" t="s">
        <v>990</v>
      </c>
      <c r="D57" s="28" t="s">
        <v>668</v>
      </c>
      <c r="E57" s="36" t="s">
        <v>1074</v>
      </c>
      <c r="F57" s="36" t="s">
        <v>1018</v>
      </c>
      <c r="G57" s="30"/>
      <c r="H57" s="41" t="s">
        <v>1347</v>
      </c>
      <c r="I57" s="31"/>
      <c r="J57" s="32" t="s">
        <v>1016</v>
      </c>
      <c r="K57" s="32" t="b">
        <f t="shared" si="0"/>
        <v>0</v>
      </c>
      <c r="L57" s="61">
        <f t="shared" si="1"/>
        <v>0</v>
      </c>
      <c r="M57" s="33"/>
      <c r="N57" s="34"/>
    </row>
    <row r="58" spans="1:14" ht="16.5" customHeight="1" x14ac:dyDescent="0.25">
      <c r="A58" s="26" t="s">
        <v>258</v>
      </c>
      <c r="B58" s="35" t="s">
        <v>1076</v>
      </c>
      <c r="C58" s="27" t="s">
        <v>990</v>
      </c>
      <c r="D58" s="28" t="s">
        <v>668</v>
      </c>
      <c r="E58" s="36" t="s">
        <v>1088</v>
      </c>
      <c r="F58" s="36" t="s">
        <v>1104</v>
      </c>
      <c r="G58" s="30"/>
      <c r="H58" s="41" t="s">
        <v>1347</v>
      </c>
      <c r="I58" s="31"/>
      <c r="J58" s="32" t="s">
        <v>1016</v>
      </c>
      <c r="K58" s="32" t="b">
        <f t="shared" si="0"/>
        <v>0</v>
      </c>
      <c r="L58" s="61">
        <f t="shared" si="1"/>
        <v>0</v>
      </c>
      <c r="M58" s="33"/>
      <c r="N58" s="34"/>
    </row>
    <row r="59" spans="1:14" ht="16.5" customHeight="1" x14ac:dyDescent="0.25">
      <c r="A59" s="26" t="s">
        <v>260</v>
      </c>
      <c r="B59" s="35" t="s">
        <v>1076</v>
      </c>
      <c r="C59" s="27" t="s">
        <v>990</v>
      </c>
      <c r="D59" s="28" t="s">
        <v>668</v>
      </c>
      <c r="E59" s="36" t="s">
        <v>1090</v>
      </c>
      <c r="F59" s="36" t="s">
        <v>1075</v>
      </c>
      <c r="G59" s="30"/>
      <c r="H59" s="41" t="s">
        <v>1347</v>
      </c>
      <c r="I59" s="31"/>
      <c r="J59" s="32" t="s">
        <v>1016</v>
      </c>
      <c r="K59" s="32" t="b">
        <f t="shared" si="0"/>
        <v>0</v>
      </c>
      <c r="L59" s="61">
        <f t="shared" si="1"/>
        <v>0</v>
      </c>
      <c r="M59" s="33"/>
      <c r="N59" s="34"/>
    </row>
    <row r="60" spans="1:14" ht="16.5" customHeight="1" x14ac:dyDescent="0.25">
      <c r="A60" s="26" t="s">
        <v>368</v>
      </c>
      <c r="B60" s="35" t="s">
        <v>1073</v>
      </c>
      <c r="C60" s="27" t="s">
        <v>1062</v>
      </c>
      <c r="D60" s="28" t="s">
        <v>1009</v>
      </c>
      <c r="E60" s="36" t="s">
        <v>1087</v>
      </c>
      <c r="F60" s="36" t="s">
        <v>1075</v>
      </c>
      <c r="G60" s="30"/>
      <c r="H60" s="41" t="s">
        <v>1347</v>
      </c>
      <c r="I60" s="31"/>
      <c r="J60" s="32" t="s">
        <v>1016</v>
      </c>
      <c r="K60" s="32" t="b">
        <f t="shared" si="0"/>
        <v>0</v>
      </c>
      <c r="L60" s="61">
        <f t="shared" si="1"/>
        <v>0</v>
      </c>
      <c r="M60" s="33"/>
      <c r="N60" s="34"/>
    </row>
    <row r="61" spans="1:14" ht="16.5" customHeight="1" x14ac:dyDescent="0.25">
      <c r="A61" s="26" t="s">
        <v>215</v>
      </c>
      <c r="B61" s="35" t="s">
        <v>1027</v>
      </c>
      <c r="C61" s="27" t="s">
        <v>990</v>
      </c>
      <c r="D61" s="28" t="s">
        <v>668</v>
      </c>
      <c r="E61" s="36" t="s">
        <v>1023</v>
      </c>
      <c r="F61" s="36" t="s">
        <v>1018</v>
      </c>
      <c r="G61" s="30"/>
      <c r="H61" s="41" t="s">
        <v>1347</v>
      </c>
      <c r="I61" s="31"/>
      <c r="J61" s="32" t="s">
        <v>1016</v>
      </c>
      <c r="K61" s="32" t="b">
        <f t="shared" si="0"/>
        <v>0</v>
      </c>
      <c r="L61" s="61">
        <f t="shared" si="1"/>
        <v>0</v>
      </c>
      <c r="M61" s="33"/>
      <c r="N61" s="34"/>
    </row>
    <row r="62" spans="1:14" ht="16.5" customHeight="1" x14ac:dyDescent="0.25">
      <c r="A62" s="26" t="s">
        <v>263</v>
      </c>
      <c r="B62" s="35" t="s">
        <v>1108</v>
      </c>
      <c r="C62" s="27" t="s">
        <v>990</v>
      </c>
      <c r="D62" s="28" t="s">
        <v>668</v>
      </c>
      <c r="E62" s="36"/>
      <c r="F62" s="36"/>
      <c r="G62" s="30"/>
      <c r="H62" s="41" t="s">
        <v>1347</v>
      </c>
      <c r="I62" s="31"/>
      <c r="J62" s="32" t="s">
        <v>1064</v>
      </c>
      <c r="K62" s="32" t="b">
        <f t="shared" si="0"/>
        <v>0</v>
      </c>
      <c r="L62" s="61">
        <f t="shared" si="1"/>
        <v>0</v>
      </c>
      <c r="M62" s="33"/>
      <c r="N62" s="34"/>
    </row>
    <row r="63" spans="1:14" ht="16.5" customHeight="1" x14ac:dyDescent="0.25">
      <c r="A63" s="26" t="s">
        <v>267</v>
      </c>
      <c r="B63" s="35" t="s">
        <v>1044</v>
      </c>
      <c r="C63" s="27" t="s">
        <v>990</v>
      </c>
      <c r="D63" s="28" t="s">
        <v>668</v>
      </c>
      <c r="E63" s="36" t="s">
        <v>1045</v>
      </c>
      <c r="F63" s="36" t="s">
        <v>1018</v>
      </c>
      <c r="G63" s="30"/>
      <c r="H63" s="41" t="s">
        <v>1347</v>
      </c>
      <c r="I63" s="31"/>
      <c r="J63" s="32" t="s">
        <v>1016</v>
      </c>
      <c r="K63" s="32" t="b">
        <f t="shared" si="0"/>
        <v>0</v>
      </c>
      <c r="L63" s="61">
        <f t="shared" si="1"/>
        <v>0</v>
      </c>
      <c r="M63" s="33"/>
      <c r="N63" s="34"/>
    </row>
    <row r="64" spans="1:14" ht="16.5" customHeight="1" x14ac:dyDescent="0.25">
      <c r="A64" s="26" t="s">
        <v>223</v>
      </c>
      <c r="B64" s="35" t="s">
        <v>1042</v>
      </c>
      <c r="C64" s="27" t="s">
        <v>990</v>
      </c>
      <c r="D64" s="28" t="s">
        <v>668</v>
      </c>
      <c r="E64" s="36" t="s">
        <v>1043</v>
      </c>
      <c r="F64" s="36" t="s">
        <v>1018</v>
      </c>
      <c r="G64" s="30"/>
      <c r="H64" s="41" t="s">
        <v>1347</v>
      </c>
      <c r="I64" s="31"/>
      <c r="J64" s="32" t="s">
        <v>1016</v>
      </c>
      <c r="K64" s="32" t="b">
        <f t="shared" si="0"/>
        <v>0</v>
      </c>
      <c r="L64" s="61">
        <f t="shared" si="1"/>
        <v>0</v>
      </c>
      <c r="M64" s="33"/>
      <c r="N64" s="34"/>
    </row>
    <row r="65" spans="1:14" ht="16.5" customHeight="1" x14ac:dyDescent="0.25">
      <c r="A65" s="26" t="s">
        <v>337</v>
      </c>
      <c r="B65" s="35" t="s">
        <v>1080</v>
      </c>
      <c r="C65" s="70" t="s">
        <v>990</v>
      </c>
      <c r="D65" s="28" t="s">
        <v>668</v>
      </c>
      <c r="E65" s="36" t="s">
        <v>1081</v>
      </c>
      <c r="F65" s="36" t="s">
        <v>1082</v>
      </c>
      <c r="G65" s="28">
        <v>6312</v>
      </c>
      <c r="H65" s="41" t="s">
        <v>1347</v>
      </c>
      <c r="I65" s="31"/>
      <c r="J65" s="32" t="s">
        <v>1016</v>
      </c>
      <c r="K65" s="32" t="b">
        <f t="shared" si="0"/>
        <v>0</v>
      </c>
      <c r="L65" s="61">
        <f t="shared" si="1"/>
        <v>0</v>
      </c>
      <c r="M65" s="33"/>
      <c r="N65" s="34"/>
    </row>
    <row r="66" spans="1:14" ht="16.5" customHeight="1" x14ac:dyDescent="0.25">
      <c r="A66" s="26" t="s">
        <v>206</v>
      </c>
      <c r="B66" s="101" t="s">
        <v>1003</v>
      </c>
      <c r="C66" s="27" t="s">
        <v>773</v>
      </c>
      <c r="D66" s="28" t="s">
        <v>980</v>
      </c>
      <c r="E66" s="36" t="s">
        <v>1006</v>
      </c>
      <c r="F66" s="36" t="s">
        <v>1007</v>
      </c>
      <c r="G66" s="30"/>
      <c r="H66" s="41" t="s">
        <v>1347</v>
      </c>
      <c r="I66" s="31"/>
      <c r="J66" s="32" t="s">
        <v>1016</v>
      </c>
      <c r="K66" s="32" t="b">
        <f t="shared" si="0"/>
        <v>0</v>
      </c>
      <c r="L66" s="61">
        <f t="shared" si="1"/>
        <v>0</v>
      </c>
      <c r="M66" s="33"/>
      <c r="N66" s="34"/>
    </row>
    <row r="67" spans="1:14" ht="16.5" customHeight="1" x14ac:dyDescent="0.25">
      <c r="A67" s="26" t="s">
        <v>351</v>
      </c>
      <c r="B67" s="101" t="s">
        <v>1223</v>
      </c>
      <c r="C67" s="27" t="s">
        <v>957</v>
      </c>
      <c r="D67" s="28" t="s">
        <v>774</v>
      </c>
      <c r="E67" s="36" t="s">
        <v>1224</v>
      </c>
      <c r="F67" s="36" t="s">
        <v>1225</v>
      </c>
      <c r="G67" s="30"/>
      <c r="H67" s="41" t="s">
        <v>1347</v>
      </c>
      <c r="I67" s="31"/>
      <c r="J67" s="32" t="s">
        <v>1016</v>
      </c>
      <c r="K67" s="32" t="b">
        <f t="shared" si="0"/>
        <v>0</v>
      </c>
      <c r="L67" s="61">
        <f t="shared" si="1"/>
        <v>0</v>
      </c>
      <c r="M67" s="33"/>
      <c r="N67" s="34"/>
    </row>
    <row r="68" spans="1:14" ht="16.5" customHeight="1" x14ac:dyDescent="0.25">
      <c r="A68" s="26" t="s">
        <v>298</v>
      </c>
      <c r="B68" s="35" t="s">
        <v>1151</v>
      </c>
      <c r="C68" s="27" t="s">
        <v>773</v>
      </c>
      <c r="D68" s="28" t="s">
        <v>1059</v>
      </c>
      <c r="E68" s="36" t="s">
        <v>1153</v>
      </c>
      <c r="F68" s="36" t="s">
        <v>1152</v>
      </c>
      <c r="G68" s="30" t="s">
        <v>1157</v>
      </c>
      <c r="H68" s="41" t="s">
        <v>1347</v>
      </c>
      <c r="I68" s="31">
        <v>100</v>
      </c>
      <c r="J68" s="32" t="s">
        <v>1016</v>
      </c>
      <c r="K68" s="32" t="b">
        <f t="shared" si="0"/>
        <v>0</v>
      </c>
      <c r="L68" s="61">
        <f t="shared" si="1"/>
        <v>0</v>
      </c>
      <c r="M68" s="33"/>
      <c r="N68" s="34"/>
    </row>
    <row r="69" spans="1:14" ht="16.5" customHeight="1" x14ac:dyDescent="0.25">
      <c r="A69" s="26" t="s">
        <v>327</v>
      </c>
      <c r="B69" s="101" t="s">
        <v>636</v>
      </c>
      <c r="C69" s="27" t="s">
        <v>957</v>
      </c>
      <c r="D69" s="28" t="s">
        <v>774</v>
      </c>
      <c r="E69" s="36" t="s">
        <v>1205</v>
      </c>
      <c r="F69" s="36" t="s">
        <v>1206</v>
      </c>
      <c r="G69" s="30"/>
      <c r="H69" s="41" t="s">
        <v>1347</v>
      </c>
      <c r="I69" s="31"/>
      <c r="J69" s="32" t="s">
        <v>1102</v>
      </c>
      <c r="K69" s="32" t="b">
        <f t="shared" ref="K69:K132" si="2">IF(J69="b","0,6",IF(J69="r","0,2",IF(J69="o",0.8)))</f>
        <v>0</v>
      </c>
      <c r="L69" s="61">
        <f t="shared" ref="L69:L132" si="3">K69*I69</f>
        <v>0</v>
      </c>
      <c r="M69" s="33"/>
      <c r="N69" s="34"/>
    </row>
    <row r="70" spans="1:14" ht="16.5" customHeight="1" x14ac:dyDescent="0.25">
      <c r="A70" s="26" t="s">
        <v>355</v>
      </c>
      <c r="B70" s="35" t="s">
        <v>1223</v>
      </c>
      <c r="C70" s="27" t="s">
        <v>1227</v>
      </c>
      <c r="D70" s="28" t="s">
        <v>774</v>
      </c>
      <c r="E70" s="36" t="s">
        <v>1224</v>
      </c>
      <c r="F70" s="36" t="s">
        <v>1225</v>
      </c>
      <c r="G70" s="30"/>
      <c r="H70" s="41" t="s">
        <v>1347</v>
      </c>
      <c r="I70" s="31"/>
      <c r="J70" s="32" t="s">
        <v>1016</v>
      </c>
      <c r="K70" s="32" t="b">
        <f t="shared" si="2"/>
        <v>0</v>
      </c>
      <c r="L70" s="61">
        <f t="shared" si="3"/>
        <v>0</v>
      </c>
      <c r="M70" s="33"/>
      <c r="N70" s="34"/>
    </row>
    <row r="71" spans="1:14" ht="16.5" customHeight="1" x14ac:dyDescent="0.25">
      <c r="A71" s="26" t="s">
        <v>362</v>
      </c>
      <c r="B71" s="35" t="s">
        <v>720</v>
      </c>
      <c r="C71" s="27" t="s">
        <v>1176</v>
      </c>
      <c r="D71" s="28" t="s">
        <v>774</v>
      </c>
      <c r="E71" s="36" t="s">
        <v>1236</v>
      </c>
      <c r="F71" s="36" t="s">
        <v>688</v>
      </c>
      <c r="G71" s="30" t="s">
        <v>1237</v>
      </c>
      <c r="H71" s="41" t="s">
        <v>1347</v>
      </c>
      <c r="I71" s="31"/>
      <c r="J71" s="32" t="s">
        <v>1016</v>
      </c>
      <c r="K71" s="32" t="b">
        <f t="shared" si="2"/>
        <v>0</v>
      </c>
      <c r="L71" s="61">
        <f t="shared" si="3"/>
        <v>0</v>
      </c>
      <c r="M71" s="33"/>
      <c r="N71" s="34"/>
    </row>
    <row r="72" spans="1:14" ht="34.5" customHeight="1" x14ac:dyDescent="0.25">
      <c r="A72" s="26" t="s">
        <v>17</v>
      </c>
      <c r="B72" s="101" t="s">
        <v>636</v>
      </c>
      <c r="C72" s="27" t="s">
        <v>1004</v>
      </c>
      <c r="D72" s="28" t="s">
        <v>981</v>
      </c>
      <c r="E72" s="36" t="s">
        <v>637</v>
      </c>
      <c r="F72" s="36" t="s">
        <v>638</v>
      </c>
      <c r="G72" s="30" t="s">
        <v>639</v>
      </c>
      <c r="H72" s="30" t="s">
        <v>1347</v>
      </c>
      <c r="I72" s="31"/>
      <c r="J72" s="32"/>
      <c r="K72" s="32" t="b">
        <f t="shared" si="2"/>
        <v>0</v>
      </c>
      <c r="L72" s="61">
        <f t="shared" si="3"/>
        <v>0</v>
      </c>
      <c r="M72" s="33"/>
      <c r="N72" s="34"/>
    </row>
    <row r="73" spans="1:14" ht="34.5" customHeight="1" x14ac:dyDescent="0.25">
      <c r="A73" s="26" t="s">
        <v>35</v>
      </c>
      <c r="B73" s="101" t="s">
        <v>675</v>
      </c>
      <c r="C73" s="27" t="s">
        <v>653</v>
      </c>
      <c r="D73" s="28" t="s">
        <v>668</v>
      </c>
      <c r="E73" s="36" t="s">
        <v>676</v>
      </c>
      <c r="F73" s="36"/>
      <c r="G73" s="30" t="s">
        <v>677</v>
      </c>
      <c r="H73" s="30" t="s">
        <v>1347</v>
      </c>
      <c r="I73" s="31"/>
      <c r="J73" s="32"/>
      <c r="K73" s="32" t="b">
        <f t="shared" si="2"/>
        <v>0</v>
      </c>
      <c r="L73" s="61">
        <f t="shared" si="3"/>
        <v>0</v>
      </c>
      <c r="M73" s="33"/>
      <c r="N73" s="34"/>
    </row>
    <row r="74" spans="1:14" ht="34.5" customHeight="1" x14ac:dyDescent="0.25">
      <c r="A74" s="26" t="s">
        <v>59</v>
      </c>
      <c r="B74" s="101" t="s">
        <v>730</v>
      </c>
      <c r="C74" s="27" t="s">
        <v>721</v>
      </c>
      <c r="D74" s="28" t="s">
        <v>981</v>
      </c>
      <c r="E74" s="36" t="s">
        <v>731</v>
      </c>
      <c r="F74" s="36" t="s">
        <v>688</v>
      </c>
      <c r="G74" s="30" t="s">
        <v>732</v>
      </c>
      <c r="H74" s="30" t="s">
        <v>1347</v>
      </c>
      <c r="I74" s="31">
        <v>1200</v>
      </c>
      <c r="J74" s="32"/>
      <c r="K74" s="32" t="b">
        <f t="shared" si="2"/>
        <v>0</v>
      </c>
      <c r="L74" s="61">
        <f t="shared" si="3"/>
        <v>0</v>
      </c>
      <c r="M74" s="33"/>
      <c r="N74" s="34"/>
    </row>
    <row r="75" spans="1:14" ht="34.5" customHeight="1" x14ac:dyDescent="0.25">
      <c r="A75" s="26" t="s">
        <v>119</v>
      </c>
      <c r="B75" s="101" t="s">
        <v>816</v>
      </c>
      <c r="C75" s="27" t="s">
        <v>773</v>
      </c>
      <c r="D75" s="28" t="s">
        <v>979</v>
      </c>
      <c r="E75" s="36"/>
      <c r="F75" s="36" t="s">
        <v>817</v>
      </c>
      <c r="G75" s="41"/>
      <c r="H75" s="30" t="s">
        <v>1347</v>
      </c>
      <c r="I75" s="31"/>
      <c r="J75" s="32"/>
      <c r="K75" s="32" t="b">
        <f t="shared" si="2"/>
        <v>0</v>
      </c>
      <c r="L75" s="61">
        <f t="shared" si="3"/>
        <v>0</v>
      </c>
      <c r="M75" s="33"/>
      <c r="N75" s="34"/>
    </row>
    <row r="76" spans="1:14" ht="34.5" customHeight="1" x14ac:dyDescent="0.25">
      <c r="A76" s="26" t="s">
        <v>121</v>
      </c>
      <c r="B76" s="101" t="s">
        <v>816</v>
      </c>
      <c r="C76" s="27" t="s">
        <v>773</v>
      </c>
      <c r="D76" s="28" t="s">
        <v>979</v>
      </c>
      <c r="E76" s="36"/>
      <c r="F76" s="36" t="s">
        <v>782</v>
      </c>
      <c r="G76" s="30"/>
      <c r="H76" s="30" t="s">
        <v>1347</v>
      </c>
      <c r="I76" s="31"/>
      <c r="J76" s="32"/>
      <c r="K76" s="32" t="b">
        <f t="shared" si="2"/>
        <v>0</v>
      </c>
      <c r="L76" s="61">
        <f t="shared" si="3"/>
        <v>0</v>
      </c>
      <c r="M76" s="33"/>
      <c r="N76" s="34"/>
    </row>
    <row r="77" spans="1:14" ht="39.950000000000003" customHeight="1" x14ac:dyDescent="0.25">
      <c r="A77" s="26" t="s">
        <v>152</v>
      </c>
      <c r="B77" s="101" t="s">
        <v>880</v>
      </c>
      <c r="C77" s="27" t="s">
        <v>631</v>
      </c>
      <c r="D77" s="75" t="s">
        <v>1005</v>
      </c>
      <c r="E77" s="36" t="s">
        <v>881</v>
      </c>
      <c r="F77" s="53" t="s">
        <v>642</v>
      </c>
      <c r="G77" s="30" t="s">
        <v>882</v>
      </c>
      <c r="H77" s="30" t="s">
        <v>1347</v>
      </c>
      <c r="I77" s="31"/>
      <c r="J77" s="32"/>
      <c r="K77" s="32" t="b">
        <f t="shared" si="2"/>
        <v>0</v>
      </c>
      <c r="L77" s="61">
        <f t="shared" si="3"/>
        <v>0</v>
      </c>
      <c r="M77" s="33"/>
      <c r="N77" s="34"/>
    </row>
    <row r="78" spans="1:14" ht="34.5" customHeight="1" x14ac:dyDescent="0.25">
      <c r="A78" s="26" t="s">
        <v>207</v>
      </c>
      <c r="B78" s="101" t="s">
        <v>1003</v>
      </c>
      <c r="C78" s="27" t="s">
        <v>1004</v>
      </c>
      <c r="D78" s="28" t="s">
        <v>981</v>
      </c>
      <c r="E78" s="36" t="s">
        <v>1006</v>
      </c>
      <c r="F78" s="36" t="s">
        <v>1007</v>
      </c>
      <c r="G78" s="30"/>
      <c r="H78" s="30" t="s">
        <v>1347</v>
      </c>
      <c r="I78" s="31"/>
      <c r="J78" s="32"/>
      <c r="K78" s="32" t="b">
        <f t="shared" si="2"/>
        <v>0</v>
      </c>
      <c r="L78" s="61">
        <f t="shared" si="3"/>
        <v>0</v>
      </c>
      <c r="M78" s="33"/>
      <c r="N78" s="34"/>
    </row>
    <row r="79" spans="1:14" ht="34.5" customHeight="1" x14ac:dyDescent="0.25">
      <c r="A79" s="26" t="s">
        <v>217</v>
      </c>
      <c r="B79" s="101" t="s">
        <v>1030</v>
      </c>
      <c r="C79" s="27" t="s">
        <v>1380</v>
      </c>
      <c r="D79" s="28" t="s">
        <v>668</v>
      </c>
      <c r="E79" s="36" t="s">
        <v>1034</v>
      </c>
      <c r="F79" s="36" t="s">
        <v>1018</v>
      </c>
      <c r="G79" s="30"/>
      <c r="H79" s="30" t="s">
        <v>1347</v>
      </c>
      <c r="I79" s="31"/>
      <c r="J79" s="32" t="s">
        <v>1016</v>
      </c>
      <c r="K79" s="32" t="b">
        <f t="shared" si="2"/>
        <v>0</v>
      </c>
      <c r="L79" s="61">
        <f t="shared" si="3"/>
        <v>0</v>
      </c>
      <c r="M79" s="33"/>
      <c r="N79" s="34"/>
    </row>
    <row r="80" spans="1:14" ht="34.5" customHeight="1" x14ac:dyDescent="0.25">
      <c r="A80" s="26" t="s">
        <v>218</v>
      </c>
      <c r="B80" s="101" t="s">
        <v>1031</v>
      </c>
      <c r="C80" s="27" t="s">
        <v>1380</v>
      </c>
      <c r="D80" s="28" t="s">
        <v>668</v>
      </c>
      <c r="E80" s="36" t="s">
        <v>1035</v>
      </c>
      <c r="F80" s="36" t="s">
        <v>1018</v>
      </c>
      <c r="G80" s="30"/>
      <c r="H80" s="30" t="s">
        <v>1347</v>
      </c>
      <c r="I80" s="31"/>
      <c r="J80" s="32" t="s">
        <v>1016</v>
      </c>
      <c r="K80" s="32" t="b">
        <f t="shared" si="2"/>
        <v>0</v>
      </c>
      <c r="L80" s="61">
        <f t="shared" si="3"/>
        <v>0</v>
      </c>
      <c r="M80" s="33"/>
      <c r="N80" s="34"/>
    </row>
    <row r="81" spans="1:14" ht="34.5" customHeight="1" x14ac:dyDescent="0.25">
      <c r="A81" s="26" t="s">
        <v>219</v>
      </c>
      <c r="B81" s="101" t="s">
        <v>1032</v>
      </c>
      <c r="C81" s="27" t="s">
        <v>1380</v>
      </c>
      <c r="D81" s="28" t="s">
        <v>668</v>
      </c>
      <c r="E81" s="36" t="s">
        <v>1036</v>
      </c>
      <c r="F81" s="36" t="s">
        <v>1018</v>
      </c>
      <c r="G81" s="30"/>
      <c r="H81" s="30" t="s">
        <v>1347</v>
      </c>
      <c r="I81" s="31"/>
      <c r="J81" s="32" t="s">
        <v>1016</v>
      </c>
      <c r="K81" s="32" t="b">
        <f t="shared" si="2"/>
        <v>0</v>
      </c>
      <c r="L81" s="61">
        <f t="shared" si="3"/>
        <v>0</v>
      </c>
      <c r="M81" s="33"/>
      <c r="N81" s="34"/>
    </row>
    <row r="82" spans="1:14" ht="34.5" customHeight="1" x14ac:dyDescent="0.25">
      <c r="A82" s="26" t="s">
        <v>220</v>
      </c>
      <c r="B82" s="101" t="s">
        <v>1033</v>
      </c>
      <c r="C82" s="27" t="s">
        <v>1380</v>
      </c>
      <c r="D82" s="28" t="s">
        <v>668</v>
      </c>
      <c r="E82" s="36" t="s">
        <v>1037</v>
      </c>
      <c r="F82" s="36" t="s">
        <v>1018</v>
      </c>
      <c r="G82" s="30"/>
      <c r="H82" s="30" t="s">
        <v>1347</v>
      </c>
      <c r="I82" s="31"/>
      <c r="J82" s="32" t="s">
        <v>1016</v>
      </c>
      <c r="K82" s="32" t="b">
        <f t="shared" si="2"/>
        <v>0</v>
      </c>
      <c r="L82" s="61">
        <f t="shared" si="3"/>
        <v>0</v>
      </c>
      <c r="M82" s="33"/>
      <c r="N82" s="34"/>
    </row>
    <row r="83" spans="1:14" ht="34.5" customHeight="1" x14ac:dyDescent="0.25">
      <c r="A83" s="26" t="s">
        <v>221</v>
      </c>
      <c r="B83" s="101" t="s">
        <v>1038</v>
      </c>
      <c r="C83" s="27" t="s">
        <v>1380</v>
      </c>
      <c r="D83" s="28" t="s">
        <v>668</v>
      </c>
      <c r="E83" s="36" t="s">
        <v>1039</v>
      </c>
      <c r="F83" s="36" t="s">
        <v>1018</v>
      </c>
      <c r="G83" s="30"/>
      <c r="H83" s="30" t="s">
        <v>1347</v>
      </c>
      <c r="I83" s="31"/>
      <c r="J83" s="32" t="s">
        <v>1016</v>
      </c>
      <c r="K83" s="32" t="b">
        <f t="shared" si="2"/>
        <v>0</v>
      </c>
      <c r="L83" s="61">
        <f t="shared" si="3"/>
        <v>0</v>
      </c>
      <c r="M83" s="33"/>
      <c r="N83" s="34"/>
    </row>
    <row r="84" spans="1:14" ht="34.5" customHeight="1" x14ac:dyDescent="0.25">
      <c r="A84" s="26" t="s">
        <v>222</v>
      </c>
      <c r="B84" s="101" t="s">
        <v>1040</v>
      </c>
      <c r="C84" s="27" t="s">
        <v>1380</v>
      </c>
      <c r="D84" s="28" t="s">
        <v>668</v>
      </c>
      <c r="E84" s="36" t="s">
        <v>1041</v>
      </c>
      <c r="F84" s="36" t="s">
        <v>1018</v>
      </c>
      <c r="G84" s="30"/>
      <c r="H84" s="30" t="s">
        <v>1347</v>
      </c>
      <c r="I84" s="31"/>
      <c r="J84" s="32" t="s">
        <v>1016</v>
      </c>
      <c r="K84" s="32" t="b">
        <f t="shared" si="2"/>
        <v>0</v>
      </c>
      <c r="L84" s="61">
        <f t="shared" si="3"/>
        <v>0</v>
      </c>
      <c r="M84" s="33"/>
      <c r="N84" s="34"/>
    </row>
    <row r="85" spans="1:14" ht="34.5" customHeight="1" x14ac:dyDescent="0.25">
      <c r="A85" s="26" t="s">
        <v>301</v>
      </c>
      <c r="B85" s="101" t="s">
        <v>1158</v>
      </c>
      <c r="C85" s="27" t="s">
        <v>721</v>
      </c>
      <c r="D85" s="28" t="s">
        <v>1212</v>
      </c>
      <c r="E85" s="36" t="s">
        <v>1160</v>
      </c>
      <c r="F85" s="36" t="s">
        <v>1152</v>
      </c>
      <c r="G85" s="27" t="s">
        <v>1164</v>
      </c>
      <c r="H85" s="30" t="s">
        <v>1347</v>
      </c>
      <c r="I85" s="31">
        <v>100</v>
      </c>
      <c r="J85" s="32" t="s">
        <v>1016</v>
      </c>
      <c r="K85" s="32" t="b">
        <f t="shared" si="2"/>
        <v>0</v>
      </c>
      <c r="L85" s="61">
        <f t="shared" si="3"/>
        <v>0</v>
      </c>
      <c r="M85" s="33"/>
      <c r="N85" s="34"/>
    </row>
    <row r="86" spans="1:14" ht="34.5" customHeight="1" x14ac:dyDescent="0.25">
      <c r="A86" s="26" t="s">
        <v>302</v>
      </c>
      <c r="B86" s="101" t="s">
        <v>1158</v>
      </c>
      <c r="C86" s="27" t="s">
        <v>721</v>
      </c>
      <c r="D86" s="28" t="s">
        <v>1212</v>
      </c>
      <c r="E86" s="36" t="s">
        <v>1160</v>
      </c>
      <c r="F86" s="36" t="s">
        <v>1152</v>
      </c>
      <c r="G86" s="30" t="s">
        <v>1163</v>
      </c>
      <c r="H86" s="30" t="s">
        <v>1347</v>
      </c>
      <c r="I86" s="31">
        <v>100</v>
      </c>
      <c r="J86" s="32" t="s">
        <v>1016</v>
      </c>
      <c r="K86" s="32" t="b">
        <f t="shared" si="2"/>
        <v>0</v>
      </c>
      <c r="L86" s="61">
        <f t="shared" si="3"/>
        <v>0</v>
      </c>
      <c r="M86" s="33"/>
      <c r="N86" s="34"/>
    </row>
    <row r="87" spans="1:14" ht="34.5" customHeight="1" x14ac:dyDescent="0.25">
      <c r="A87" s="26" t="s">
        <v>366</v>
      </c>
      <c r="B87" s="101"/>
      <c r="C87" s="27"/>
      <c r="D87" s="28"/>
      <c r="E87" s="36"/>
      <c r="F87" s="29"/>
      <c r="G87" s="30"/>
      <c r="H87" s="30" t="s">
        <v>1347</v>
      </c>
      <c r="I87" s="31"/>
      <c r="J87" s="32"/>
      <c r="K87" s="32" t="b">
        <f t="shared" si="2"/>
        <v>0</v>
      </c>
      <c r="L87" s="61">
        <f t="shared" si="3"/>
        <v>0</v>
      </c>
      <c r="M87" s="33"/>
      <c r="N87" s="34"/>
    </row>
    <row r="88" spans="1:14" ht="34.5" customHeight="1" x14ac:dyDescent="0.25">
      <c r="A88" s="26" t="s">
        <v>297</v>
      </c>
      <c r="B88" s="101" t="s">
        <v>1151</v>
      </c>
      <c r="C88" s="27" t="s">
        <v>957</v>
      </c>
      <c r="D88" s="28" t="s">
        <v>1059</v>
      </c>
      <c r="E88" s="36" t="s">
        <v>1153</v>
      </c>
      <c r="F88" s="36" t="s">
        <v>1152</v>
      </c>
      <c r="G88" s="30" t="s">
        <v>1156</v>
      </c>
      <c r="H88" s="30" t="s">
        <v>1347</v>
      </c>
      <c r="I88" s="31">
        <v>100</v>
      </c>
      <c r="J88" s="32" t="s">
        <v>1016</v>
      </c>
      <c r="K88" s="32" t="b">
        <f t="shared" si="2"/>
        <v>0</v>
      </c>
      <c r="L88" s="61">
        <f t="shared" si="3"/>
        <v>0</v>
      </c>
      <c r="M88" s="33"/>
      <c r="N88" s="34"/>
    </row>
    <row r="89" spans="1:14" ht="34.5" customHeight="1" x14ac:dyDescent="0.25">
      <c r="A89" s="26" t="s">
        <v>230</v>
      </c>
      <c r="B89" s="101" t="s">
        <v>1055</v>
      </c>
      <c r="C89" s="27" t="s">
        <v>1380</v>
      </c>
      <c r="D89" s="28" t="s">
        <v>668</v>
      </c>
      <c r="E89" s="36" t="s">
        <v>1056</v>
      </c>
      <c r="F89" s="36" t="s">
        <v>1057</v>
      </c>
      <c r="G89" s="30"/>
      <c r="H89" s="30" t="s">
        <v>1347</v>
      </c>
      <c r="I89" s="31"/>
      <c r="J89" s="32" t="s">
        <v>1016</v>
      </c>
      <c r="K89" s="32" t="b">
        <f t="shared" si="2"/>
        <v>0</v>
      </c>
      <c r="L89" s="61">
        <f t="shared" si="3"/>
        <v>0</v>
      </c>
      <c r="M89" s="33"/>
      <c r="N89" s="34"/>
    </row>
    <row r="90" spans="1:14" ht="34.5" customHeight="1" x14ac:dyDescent="0.25">
      <c r="A90" s="26" t="s">
        <v>224</v>
      </c>
      <c r="B90" s="101" t="s">
        <v>1044</v>
      </c>
      <c r="C90" s="27" t="s">
        <v>1380</v>
      </c>
      <c r="D90" s="28" t="s">
        <v>668</v>
      </c>
      <c r="E90" s="36" t="s">
        <v>1045</v>
      </c>
      <c r="F90" s="36" t="s">
        <v>1018</v>
      </c>
      <c r="G90" s="30"/>
      <c r="H90" s="30" t="s">
        <v>1347</v>
      </c>
      <c r="I90" s="31"/>
      <c r="J90" s="32" t="s">
        <v>1016</v>
      </c>
      <c r="K90" s="32" t="b">
        <f t="shared" si="2"/>
        <v>0</v>
      </c>
      <c r="L90" s="61">
        <f t="shared" si="3"/>
        <v>0</v>
      </c>
      <c r="M90" s="33"/>
      <c r="N90" s="34"/>
    </row>
    <row r="91" spans="1:14" ht="34.5" customHeight="1" x14ac:dyDescent="0.25">
      <c r="A91" s="26" t="s">
        <v>255</v>
      </c>
      <c r="B91" s="101" t="s">
        <v>1073</v>
      </c>
      <c r="C91" s="27" t="s">
        <v>1380</v>
      </c>
      <c r="D91" s="28" t="s">
        <v>668</v>
      </c>
      <c r="E91" s="36" t="s">
        <v>1089</v>
      </c>
      <c r="F91" s="36" t="s">
        <v>1075</v>
      </c>
      <c r="G91" s="30"/>
      <c r="H91" s="30" t="s">
        <v>1347</v>
      </c>
      <c r="I91" s="31"/>
      <c r="J91" s="32" t="s">
        <v>1102</v>
      </c>
      <c r="K91" s="32" t="b">
        <f t="shared" si="2"/>
        <v>0</v>
      </c>
      <c r="L91" s="61">
        <f t="shared" si="3"/>
        <v>0</v>
      </c>
      <c r="M91" s="33"/>
      <c r="N91" s="34"/>
    </row>
    <row r="92" spans="1:14" ht="34.5" customHeight="1" x14ac:dyDescent="0.25">
      <c r="A92" s="26" t="s">
        <v>216</v>
      </c>
      <c r="B92" s="101" t="s">
        <v>1028</v>
      </c>
      <c r="C92" s="27" t="s">
        <v>1380</v>
      </c>
      <c r="D92" s="28" t="s">
        <v>668</v>
      </c>
      <c r="E92" s="36" t="s">
        <v>1029</v>
      </c>
      <c r="F92" s="36" t="s">
        <v>1018</v>
      </c>
      <c r="G92" s="30"/>
      <c r="H92" s="30" t="s">
        <v>1347</v>
      </c>
      <c r="I92" s="31"/>
      <c r="J92" s="32" t="s">
        <v>1016</v>
      </c>
      <c r="K92" s="32" t="b">
        <f t="shared" si="2"/>
        <v>0</v>
      </c>
      <c r="L92" s="61">
        <f t="shared" si="3"/>
        <v>0</v>
      </c>
      <c r="M92" s="33"/>
      <c r="N92" s="34"/>
    </row>
    <row r="93" spans="1:14" ht="34.5" customHeight="1" x14ac:dyDescent="0.25">
      <c r="A93" s="26" t="s">
        <v>270</v>
      </c>
      <c r="B93" s="101" t="s">
        <v>1076</v>
      </c>
      <c r="C93" s="27" t="s">
        <v>1380</v>
      </c>
      <c r="D93" s="28" t="s">
        <v>668</v>
      </c>
      <c r="E93" s="36" t="s">
        <v>1090</v>
      </c>
      <c r="F93" s="36" t="s">
        <v>1018</v>
      </c>
      <c r="G93" s="30"/>
      <c r="H93" s="30" t="s">
        <v>1347</v>
      </c>
      <c r="I93" s="31"/>
      <c r="J93" s="32" t="s">
        <v>1016</v>
      </c>
      <c r="K93" s="32" t="b">
        <f>IF(J93="b","0,6",IF(J93="r","0,2",IF(J93="o",0.8)))</f>
        <v>0</v>
      </c>
      <c r="L93" s="61">
        <f t="shared" si="3"/>
        <v>0</v>
      </c>
      <c r="M93" s="33"/>
      <c r="N93" s="34"/>
    </row>
    <row r="94" spans="1:14" ht="34.5" customHeight="1" x14ac:dyDescent="0.25">
      <c r="A94" s="26" t="s">
        <v>213</v>
      </c>
      <c r="B94" s="101" t="s">
        <v>1024</v>
      </c>
      <c r="C94" s="27" t="s">
        <v>1380</v>
      </c>
      <c r="D94" s="28" t="s">
        <v>668</v>
      </c>
      <c r="E94" s="36" t="s">
        <v>1025</v>
      </c>
      <c r="F94" s="36" t="s">
        <v>1018</v>
      </c>
      <c r="G94" s="30"/>
      <c r="H94" s="30" t="s">
        <v>1347</v>
      </c>
      <c r="I94" s="31"/>
      <c r="J94" s="32" t="s">
        <v>1016</v>
      </c>
      <c r="K94" s="32" t="b">
        <f>IF(J94="b","0,6",IF(J94="r","0,2",IF(J94="o",0.8)))</f>
        <v>0</v>
      </c>
      <c r="L94" s="61">
        <f t="shared" si="3"/>
        <v>0</v>
      </c>
      <c r="M94" s="33"/>
      <c r="N94" s="34"/>
    </row>
    <row r="95" spans="1:14" ht="34.5" customHeight="1" x14ac:dyDescent="0.25">
      <c r="A95" s="26" t="s">
        <v>269</v>
      </c>
      <c r="B95" s="101" t="s">
        <v>1076</v>
      </c>
      <c r="C95" s="27" t="s">
        <v>1380</v>
      </c>
      <c r="D95" s="28" t="s">
        <v>668</v>
      </c>
      <c r="E95" s="36" t="s">
        <v>1090</v>
      </c>
      <c r="F95" s="36" t="s">
        <v>1018</v>
      </c>
      <c r="G95" s="30"/>
      <c r="H95" s="30" t="s">
        <v>1347</v>
      </c>
      <c r="I95" s="31"/>
      <c r="J95" s="32" t="s">
        <v>1016</v>
      </c>
      <c r="K95" s="32" t="b">
        <f t="shared" si="2"/>
        <v>0</v>
      </c>
      <c r="L95" s="61">
        <f t="shared" si="3"/>
        <v>0</v>
      </c>
      <c r="M95" s="33"/>
      <c r="N95" s="34"/>
    </row>
    <row r="96" spans="1:14" ht="34.5" customHeight="1" x14ac:dyDescent="0.25">
      <c r="A96" s="26" t="s">
        <v>254</v>
      </c>
      <c r="B96" s="35" t="s">
        <v>1065</v>
      </c>
      <c r="C96" s="27" t="s">
        <v>1380</v>
      </c>
      <c r="D96" s="28" t="s">
        <v>668</v>
      </c>
      <c r="E96" s="36" t="s">
        <v>1103</v>
      </c>
      <c r="F96" s="36" t="s">
        <v>775</v>
      </c>
      <c r="G96" s="30"/>
      <c r="H96" s="30" t="s">
        <v>1347</v>
      </c>
      <c r="I96" s="31"/>
      <c r="J96" s="32" t="s">
        <v>1102</v>
      </c>
      <c r="K96" s="32" t="b">
        <f t="shared" si="2"/>
        <v>0</v>
      </c>
      <c r="L96" s="61">
        <f t="shared" si="3"/>
        <v>0</v>
      </c>
      <c r="M96" s="33"/>
      <c r="N96" s="34"/>
    </row>
    <row r="97" spans="1:14" ht="34.5" customHeight="1" x14ac:dyDescent="0.25">
      <c r="A97" s="26" t="s">
        <v>250</v>
      </c>
      <c r="B97" s="35" t="s">
        <v>1094</v>
      </c>
      <c r="C97" s="27" t="s">
        <v>1380</v>
      </c>
      <c r="D97" s="28" t="s">
        <v>668</v>
      </c>
      <c r="E97" s="36" t="s">
        <v>1095</v>
      </c>
      <c r="F97" s="36" t="s">
        <v>1096</v>
      </c>
      <c r="G97" s="30"/>
      <c r="H97" s="30" t="s">
        <v>1347</v>
      </c>
      <c r="I97" s="31"/>
      <c r="J97" s="32" t="s">
        <v>1102</v>
      </c>
      <c r="K97" s="32" t="b">
        <f t="shared" si="2"/>
        <v>0</v>
      </c>
      <c r="L97" s="61">
        <f t="shared" si="3"/>
        <v>0</v>
      </c>
      <c r="M97" s="33"/>
      <c r="N97" s="34"/>
    </row>
    <row r="98" spans="1:14" ht="34.5" customHeight="1" x14ac:dyDescent="0.25">
      <c r="A98" s="26" t="s">
        <v>256</v>
      </c>
      <c r="B98" s="35" t="s">
        <v>1076</v>
      </c>
      <c r="C98" s="27" t="s">
        <v>1380</v>
      </c>
      <c r="D98" s="28" t="s">
        <v>668</v>
      </c>
      <c r="E98" s="36" t="s">
        <v>1074</v>
      </c>
      <c r="F98" s="36" t="s">
        <v>1075</v>
      </c>
      <c r="G98" s="30"/>
      <c r="H98" s="30" t="s">
        <v>1347</v>
      </c>
      <c r="I98" s="31"/>
      <c r="J98" s="32" t="s">
        <v>1016</v>
      </c>
      <c r="K98" s="32" t="b">
        <f t="shared" si="2"/>
        <v>0</v>
      </c>
      <c r="L98" s="61">
        <f t="shared" si="3"/>
        <v>0</v>
      </c>
      <c r="M98" s="33"/>
      <c r="N98" s="34"/>
    </row>
    <row r="99" spans="1:14" ht="34.5" customHeight="1" x14ac:dyDescent="0.25">
      <c r="A99" s="26" t="s">
        <v>309</v>
      </c>
      <c r="B99" s="101" t="s">
        <v>1058</v>
      </c>
      <c r="C99" s="27" t="s">
        <v>1380</v>
      </c>
      <c r="D99" s="28" t="s">
        <v>1244</v>
      </c>
      <c r="E99" s="36" t="s">
        <v>1175</v>
      </c>
      <c r="F99" s="36" t="s">
        <v>634</v>
      </c>
      <c r="G99" s="30" t="s">
        <v>1174</v>
      </c>
      <c r="H99" s="30" t="s">
        <v>1347</v>
      </c>
      <c r="I99" s="31"/>
      <c r="J99" s="32" t="s">
        <v>1016</v>
      </c>
      <c r="K99" s="32" t="b">
        <f t="shared" si="2"/>
        <v>0</v>
      </c>
      <c r="L99" s="61">
        <f t="shared" si="3"/>
        <v>0</v>
      </c>
      <c r="M99" s="33"/>
      <c r="N99" s="34"/>
    </row>
    <row r="100" spans="1:14" ht="34.5" customHeight="1" x14ac:dyDescent="0.25">
      <c r="A100" s="26"/>
      <c r="B100" s="35"/>
      <c r="C100" s="27"/>
      <c r="D100" s="28"/>
      <c r="E100" s="36"/>
      <c r="F100" s="36"/>
      <c r="G100" s="30"/>
      <c r="H100" s="30"/>
      <c r="I100" s="31"/>
      <c r="J100" s="32"/>
      <c r="K100" s="32" t="b">
        <f t="shared" si="2"/>
        <v>0</v>
      </c>
      <c r="L100" s="61">
        <f t="shared" si="3"/>
        <v>0</v>
      </c>
      <c r="M100" s="33"/>
      <c r="N100" s="34"/>
    </row>
    <row r="101" spans="1:14" ht="34.5" customHeight="1" x14ac:dyDescent="0.25">
      <c r="A101" s="26"/>
      <c r="B101" s="35"/>
      <c r="C101" s="27"/>
      <c r="D101" s="28"/>
      <c r="E101" s="36"/>
      <c r="F101" s="36"/>
      <c r="G101" s="30"/>
      <c r="H101" s="30"/>
      <c r="I101" s="31"/>
      <c r="J101" s="32"/>
      <c r="K101" s="32" t="b">
        <f t="shared" si="2"/>
        <v>0</v>
      </c>
      <c r="L101" s="61">
        <f t="shared" si="3"/>
        <v>0</v>
      </c>
      <c r="M101" s="33"/>
      <c r="N101" s="34"/>
    </row>
    <row r="102" spans="1:14" ht="34.5" customHeight="1" x14ac:dyDescent="0.25">
      <c r="A102" s="26"/>
      <c r="B102" s="35"/>
      <c r="C102" s="27"/>
      <c r="D102" s="28"/>
      <c r="E102" s="36"/>
      <c r="F102" s="36"/>
      <c r="G102" s="30"/>
      <c r="H102" s="30"/>
      <c r="I102" s="31"/>
      <c r="J102" s="32"/>
      <c r="K102" s="32" t="b">
        <f t="shared" si="2"/>
        <v>0</v>
      </c>
      <c r="L102" s="61">
        <f t="shared" si="3"/>
        <v>0</v>
      </c>
      <c r="M102" s="33"/>
      <c r="N102" s="34"/>
    </row>
    <row r="103" spans="1:14" ht="34.5" customHeight="1" x14ac:dyDescent="0.25">
      <c r="A103" s="26"/>
      <c r="B103" s="35"/>
      <c r="C103" s="27"/>
      <c r="D103" s="28"/>
      <c r="E103" s="36"/>
      <c r="F103" s="36"/>
      <c r="G103" s="30"/>
      <c r="H103" s="30"/>
      <c r="I103" s="31"/>
      <c r="J103" s="32"/>
      <c r="K103" s="32" t="b">
        <f t="shared" si="2"/>
        <v>0</v>
      </c>
      <c r="L103" s="61">
        <f t="shared" si="3"/>
        <v>0</v>
      </c>
      <c r="M103" s="33"/>
      <c r="N103" s="34"/>
    </row>
    <row r="104" spans="1:14" ht="34.5" customHeight="1" x14ac:dyDescent="0.25">
      <c r="A104" s="26"/>
      <c r="B104" s="35"/>
      <c r="C104" s="27"/>
      <c r="D104" s="28"/>
      <c r="E104" s="36"/>
      <c r="F104" s="36"/>
      <c r="G104" s="30"/>
      <c r="H104" s="30"/>
      <c r="I104" s="31"/>
      <c r="J104" s="32"/>
      <c r="K104" s="32" t="b">
        <f t="shared" si="2"/>
        <v>0</v>
      </c>
      <c r="L104" s="61">
        <f t="shared" si="3"/>
        <v>0</v>
      </c>
      <c r="M104" s="33"/>
      <c r="N104" s="34"/>
    </row>
    <row r="105" spans="1:14" ht="34.5" customHeight="1" x14ac:dyDescent="0.25">
      <c r="A105" s="26"/>
      <c r="B105" s="35"/>
      <c r="C105" s="27"/>
      <c r="D105" s="28"/>
      <c r="E105" s="36"/>
      <c r="F105" s="36"/>
      <c r="G105" s="30"/>
      <c r="H105" s="30"/>
      <c r="I105" s="31"/>
      <c r="J105" s="32"/>
      <c r="K105" s="32" t="b">
        <f t="shared" si="2"/>
        <v>0</v>
      </c>
      <c r="L105" s="61">
        <f t="shared" si="3"/>
        <v>0</v>
      </c>
      <c r="M105" s="33"/>
      <c r="N105" s="34"/>
    </row>
    <row r="106" spans="1:14" ht="34.5" customHeight="1" x14ac:dyDescent="0.25">
      <c r="A106" s="26"/>
      <c r="B106" s="35"/>
      <c r="C106" s="27"/>
      <c r="D106" s="28"/>
      <c r="E106" s="36"/>
      <c r="F106" s="36"/>
      <c r="G106" s="30"/>
      <c r="H106" s="30"/>
      <c r="I106" s="31"/>
      <c r="J106" s="32"/>
      <c r="K106" s="32" t="b">
        <f t="shared" si="2"/>
        <v>0</v>
      </c>
      <c r="L106" s="61">
        <f t="shared" si="3"/>
        <v>0</v>
      </c>
      <c r="M106" s="33"/>
      <c r="N106" s="34"/>
    </row>
    <row r="107" spans="1:14" ht="34.5" customHeight="1" x14ac:dyDescent="0.25">
      <c r="A107" s="26"/>
      <c r="B107" s="35"/>
      <c r="C107" s="27"/>
      <c r="D107" s="28"/>
      <c r="E107" s="36"/>
      <c r="F107" s="36"/>
      <c r="G107" s="30"/>
      <c r="H107" s="30"/>
      <c r="I107" s="31"/>
      <c r="J107" s="32"/>
      <c r="K107" s="32" t="b">
        <f t="shared" si="2"/>
        <v>0</v>
      </c>
      <c r="L107" s="61">
        <f t="shared" si="3"/>
        <v>0</v>
      </c>
      <c r="M107" s="33"/>
      <c r="N107" s="34"/>
    </row>
    <row r="108" spans="1:14" ht="34.5" customHeight="1" x14ac:dyDescent="0.25">
      <c r="A108" s="26"/>
      <c r="B108" s="35"/>
      <c r="C108" s="27"/>
      <c r="D108" s="28"/>
      <c r="E108" s="36"/>
      <c r="F108" s="36"/>
      <c r="G108" s="30"/>
      <c r="H108" s="30"/>
      <c r="I108" s="31"/>
      <c r="J108" s="32"/>
      <c r="K108" s="32" t="b">
        <f t="shared" si="2"/>
        <v>0</v>
      </c>
      <c r="L108" s="61">
        <f t="shared" si="3"/>
        <v>0</v>
      </c>
      <c r="M108" s="33"/>
      <c r="N108" s="34"/>
    </row>
    <row r="109" spans="1:14" ht="34.5" customHeight="1" x14ac:dyDescent="0.25">
      <c r="A109" s="26"/>
      <c r="B109" s="35"/>
      <c r="C109" s="27"/>
      <c r="D109" s="28"/>
      <c r="E109" s="36"/>
      <c r="F109" s="36"/>
      <c r="G109" s="30"/>
      <c r="H109" s="30"/>
      <c r="I109" s="31"/>
      <c r="J109" s="32"/>
      <c r="K109" s="32" t="b">
        <f t="shared" si="2"/>
        <v>0</v>
      </c>
      <c r="L109" s="61">
        <f t="shared" si="3"/>
        <v>0</v>
      </c>
      <c r="M109" s="33"/>
      <c r="N109" s="34"/>
    </row>
    <row r="110" spans="1:14" ht="34.5" customHeight="1" x14ac:dyDescent="0.25">
      <c r="A110" s="26"/>
      <c r="B110" s="35"/>
      <c r="C110" s="27"/>
      <c r="D110" s="28"/>
      <c r="E110" s="36"/>
      <c r="F110" s="36"/>
      <c r="G110" s="30"/>
      <c r="H110" s="30"/>
      <c r="I110" s="31"/>
      <c r="J110" s="32"/>
      <c r="K110" s="32" t="b">
        <f t="shared" si="2"/>
        <v>0</v>
      </c>
      <c r="L110" s="61">
        <f t="shared" si="3"/>
        <v>0</v>
      </c>
      <c r="M110" s="33"/>
      <c r="N110" s="34"/>
    </row>
    <row r="111" spans="1:14" ht="34.5" customHeight="1" x14ac:dyDescent="0.25">
      <c r="A111" s="26"/>
      <c r="B111" s="35"/>
      <c r="C111" s="27"/>
      <c r="D111" s="28"/>
      <c r="E111" s="36"/>
      <c r="F111" s="36"/>
      <c r="G111" s="30"/>
      <c r="H111" s="30"/>
      <c r="I111" s="31"/>
      <c r="J111" s="32"/>
      <c r="K111" s="32" t="b">
        <f t="shared" si="2"/>
        <v>0</v>
      </c>
      <c r="L111" s="61">
        <f t="shared" si="3"/>
        <v>0</v>
      </c>
      <c r="M111" s="33"/>
      <c r="N111" s="34"/>
    </row>
    <row r="112" spans="1:14" ht="34.5" customHeight="1" x14ac:dyDescent="0.25">
      <c r="A112" s="51"/>
      <c r="B112" s="45"/>
      <c r="C112" s="27"/>
      <c r="D112" s="46"/>
      <c r="E112" s="53"/>
      <c r="F112" s="53"/>
      <c r="G112" s="46"/>
      <c r="H112" s="46"/>
      <c r="I112" s="31"/>
      <c r="J112" s="32"/>
      <c r="K112" s="32" t="b">
        <f t="shared" si="2"/>
        <v>0</v>
      </c>
      <c r="L112" s="61">
        <f t="shared" si="3"/>
        <v>0</v>
      </c>
      <c r="M112" s="33"/>
      <c r="N112" s="34"/>
    </row>
    <row r="113" spans="1:14" ht="34.5" customHeight="1" x14ac:dyDescent="0.25">
      <c r="A113" s="26"/>
      <c r="B113" s="35"/>
      <c r="C113" s="27"/>
      <c r="D113" s="28"/>
      <c r="E113" s="36"/>
      <c r="F113" s="36"/>
      <c r="G113" s="30"/>
      <c r="H113" s="30"/>
      <c r="I113" s="31"/>
      <c r="J113" s="32"/>
      <c r="K113" s="32" t="b">
        <f t="shared" si="2"/>
        <v>0</v>
      </c>
      <c r="L113" s="61">
        <f t="shared" si="3"/>
        <v>0</v>
      </c>
      <c r="M113" s="33"/>
      <c r="N113" s="34"/>
    </row>
    <row r="114" spans="1:14" ht="34.5" customHeight="1" x14ac:dyDescent="0.25">
      <c r="A114" s="26"/>
      <c r="B114" s="35"/>
      <c r="C114" s="27"/>
      <c r="D114" s="28"/>
      <c r="E114" s="36"/>
      <c r="F114" s="36"/>
      <c r="G114" s="30"/>
      <c r="H114" s="30"/>
      <c r="I114" s="31"/>
      <c r="J114" s="32"/>
      <c r="K114" s="32" t="b">
        <f t="shared" si="2"/>
        <v>0</v>
      </c>
      <c r="L114" s="61">
        <f t="shared" si="3"/>
        <v>0</v>
      </c>
      <c r="M114" s="33"/>
      <c r="N114" s="34"/>
    </row>
    <row r="115" spans="1:14" ht="34.5" customHeight="1" x14ac:dyDescent="0.25">
      <c r="A115" s="26"/>
      <c r="B115" s="35"/>
      <c r="C115" s="27"/>
      <c r="D115" s="28"/>
      <c r="E115" s="36"/>
      <c r="F115" s="36"/>
      <c r="G115" s="30"/>
      <c r="H115" s="30"/>
      <c r="I115" s="31"/>
      <c r="J115" s="32"/>
      <c r="K115" s="32" t="b">
        <f t="shared" si="2"/>
        <v>0</v>
      </c>
      <c r="L115" s="61">
        <f t="shared" si="3"/>
        <v>0</v>
      </c>
      <c r="M115" s="33"/>
      <c r="N115" s="34"/>
    </row>
    <row r="116" spans="1:14" ht="34.5" customHeight="1" x14ac:dyDescent="0.25">
      <c r="A116" s="26"/>
      <c r="B116" s="35"/>
      <c r="C116" s="27"/>
      <c r="D116" s="28"/>
      <c r="E116" s="36"/>
      <c r="F116" s="36"/>
      <c r="G116" s="30"/>
      <c r="H116" s="30"/>
      <c r="I116" s="31"/>
      <c r="J116" s="32"/>
      <c r="K116" s="32" t="b">
        <f t="shared" si="2"/>
        <v>0</v>
      </c>
      <c r="L116" s="61">
        <f t="shared" si="3"/>
        <v>0</v>
      </c>
      <c r="M116" s="33"/>
      <c r="N116" s="34"/>
    </row>
    <row r="117" spans="1:14" ht="34.5" customHeight="1" x14ac:dyDescent="0.25">
      <c r="A117" s="26"/>
      <c r="B117" s="35"/>
      <c r="C117" s="27"/>
      <c r="D117" s="28"/>
      <c r="E117" s="36"/>
      <c r="F117" s="36"/>
      <c r="G117" s="30"/>
      <c r="H117" s="30"/>
      <c r="I117" s="31"/>
      <c r="J117" s="32"/>
      <c r="K117" s="32" t="b">
        <f t="shared" si="2"/>
        <v>0</v>
      </c>
      <c r="L117" s="61">
        <f t="shared" si="3"/>
        <v>0</v>
      </c>
      <c r="M117" s="33"/>
      <c r="N117" s="34"/>
    </row>
    <row r="118" spans="1:14" ht="34.5" customHeight="1" x14ac:dyDescent="0.25">
      <c r="A118" s="26"/>
      <c r="B118" s="35"/>
      <c r="C118" s="27"/>
      <c r="D118" s="28"/>
      <c r="E118" s="36"/>
      <c r="F118" s="36"/>
      <c r="G118" s="41"/>
      <c r="H118" s="41"/>
      <c r="I118" s="31"/>
      <c r="J118" s="32"/>
      <c r="K118" s="32" t="b">
        <f t="shared" si="2"/>
        <v>0</v>
      </c>
      <c r="L118" s="61">
        <f t="shared" si="3"/>
        <v>0</v>
      </c>
      <c r="M118" s="33"/>
      <c r="N118" s="34"/>
    </row>
    <row r="119" spans="1:14" ht="34.5" customHeight="1" x14ac:dyDescent="0.3">
      <c r="A119" s="26"/>
      <c r="B119" s="44"/>
      <c r="C119" s="27"/>
      <c r="D119" s="28"/>
      <c r="E119" s="36"/>
      <c r="F119" s="36"/>
      <c r="G119" s="30"/>
      <c r="H119" s="30"/>
      <c r="I119" s="31"/>
      <c r="J119" s="32"/>
      <c r="K119" s="32" t="b">
        <f t="shared" si="2"/>
        <v>0</v>
      </c>
      <c r="L119" s="61">
        <f t="shared" si="3"/>
        <v>0</v>
      </c>
      <c r="M119" s="33"/>
      <c r="N119" s="34"/>
    </row>
    <row r="120" spans="1:14" ht="34.5" customHeight="1" x14ac:dyDescent="0.3">
      <c r="A120" s="26"/>
      <c r="B120" s="72"/>
      <c r="C120" s="27"/>
      <c r="D120" s="28"/>
      <c r="E120" s="36"/>
      <c r="F120" s="36"/>
      <c r="G120" s="30"/>
      <c r="H120" s="30"/>
      <c r="I120" s="31"/>
      <c r="J120" s="32"/>
      <c r="K120" s="32" t="b">
        <f t="shared" si="2"/>
        <v>0</v>
      </c>
      <c r="L120" s="61">
        <f t="shared" si="3"/>
        <v>0</v>
      </c>
      <c r="M120" s="33"/>
      <c r="N120" s="34"/>
    </row>
    <row r="121" spans="1:14" ht="34.5" customHeight="1" x14ac:dyDescent="0.3">
      <c r="A121" s="26"/>
      <c r="B121" s="44"/>
      <c r="C121" s="27"/>
      <c r="D121" s="28"/>
      <c r="E121" s="36"/>
      <c r="F121" s="36"/>
      <c r="G121" s="30"/>
      <c r="H121" s="30"/>
      <c r="I121" s="31"/>
      <c r="J121" s="32"/>
      <c r="K121" s="32" t="b">
        <f t="shared" si="2"/>
        <v>0</v>
      </c>
      <c r="L121" s="61">
        <f t="shared" si="3"/>
        <v>0</v>
      </c>
      <c r="M121" s="33"/>
      <c r="N121" s="34"/>
    </row>
    <row r="122" spans="1:14" ht="34.5" customHeight="1" x14ac:dyDescent="0.3">
      <c r="A122" s="26"/>
      <c r="B122" s="72"/>
      <c r="C122" s="27"/>
      <c r="D122" s="28"/>
      <c r="E122" s="36"/>
      <c r="F122" s="36"/>
      <c r="G122" s="30"/>
      <c r="H122" s="30"/>
      <c r="I122" s="31"/>
      <c r="J122" s="32"/>
      <c r="K122" s="32" t="b">
        <f t="shared" si="2"/>
        <v>0</v>
      </c>
      <c r="L122" s="61">
        <f t="shared" si="3"/>
        <v>0</v>
      </c>
      <c r="M122" s="33"/>
      <c r="N122" s="34"/>
    </row>
    <row r="123" spans="1:14" ht="34.5" customHeight="1" x14ac:dyDescent="0.3">
      <c r="A123" s="26"/>
      <c r="B123" s="44"/>
      <c r="C123" s="27"/>
      <c r="D123" s="28"/>
      <c r="E123" s="36"/>
      <c r="F123" s="36"/>
      <c r="G123" s="30"/>
      <c r="H123" s="30"/>
      <c r="I123" s="31"/>
      <c r="J123" s="32"/>
      <c r="K123" s="32" t="b">
        <f t="shared" si="2"/>
        <v>0</v>
      </c>
      <c r="L123" s="61">
        <f t="shared" si="3"/>
        <v>0</v>
      </c>
      <c r="M123" s="33"/>
      <c r="N123" s="34"/>
    </row>
    <row r="124" spans="1:14" ht="34.5" customHeight="1" x14ac:dyDescent="0.3">
      <c r="A124" s="26"/>
      <c r="B124" s="44"/>
      <c r="C124" s="27"/>
      <c r="D124" s="28"/>
      <c r="E124" s="36"/>
      <c r="F124" s="36"/>
      <c r="G124" s="30"/>
      <c r="H124" s="30"/>
      <c r="I124" s="31"/>
      <c r="J124" s="32"/>
      <c r="K124" s="32" t="b">
        <f t="shared" si="2"/>
        <v>0</v>
      </c>
      <c r="L124" s="61">
        <f t="shared" si="3"/>
        <v>0</v>
      </c>
      <c r="M124" s="33"/>
      <c r="N124" s="34"/>
    </row>
    <row r="125" spans="1:14" ht="34.5" customHeight="1" x14ac:dyDescent="0.3">
      <c r="A125" s="26"/>
      <c r="B125" s="44"/>
      <c r="C125" s="27"/>
      <c r="D125" s="28"/>
      <c r="E125" s="36"/>
      <c r="F125" s="36"/>
      <c r="G125" s="30"/>
      <c r="H125" s="30"/>
      <c r="I125" s="31"/>
      <c r="J125" s="32"/>
      <c r="K125" s="32" t="b">
        <f t="shared" si="2"/>
        <v>0</v>
      </c>
      <c r="L125" s="61">
        <f t="shared" si="3"/>
        <v>0</v>
      </c>
      <c r="M125" s="33"/>
      <c r="N125" s="34"/>
    </row>
    <row r="126" spans="1:14" ht="34.5" customHeight="1" x14ac:dyDescent="0.25">
      <c r="A126" s="49"/>
      <c r="B126" s="35"/>
      <c r="C126" s="27"/>
      <c r="D126" s="28"/>
      <c r="E126" s="36"/>
      <c r="F126" s="36"/>
      <c r="G126" s="28"/>
      <c r="H126" s="28"/>
      <c r="I126" s="31"/>
      <c r="J126" s="32"/>
      <c r="K126" s="32" t="b">
        <f t="shared" si="2"/>
        <v>0</v>
      </c>
      <c r="L126" s="61">
        <f t="shared" si="3"/>
        <v>0</v>
      </c>
      <c r="M126" s="48"/>
      <c r="N126" s="34"/>
    </row>
    <row r="127" spans="1:14" ht="34.5" customHeight="1" x14ac:dyDescent="0.25">
      <c r="A127" s="26"/>
      <c r="B127" s="35"/>
      <c r="C127" s="27"/>
      <c r="D127" s="28"/>
      <c r="E127" s="36"/>
      <c r="F127" s="36"/>
      <c r="G127" s="30"/>
      <c r="H127" s="30"/>
      <c r="I127" s="31"/>
      <c r="J127" s="32"/>
      <c r="K127" s="32" t="b">
        <f t="shared" si="2"/>
        <v>0</v>
      </c>
      <c r="L127" s="61">
        <f t="shared" si="3"/>
        <v>0</v>
      </c>
      <c r="M127" s="33"/>
      <c r="N127" s="34"/>
    </row>
    <row r="128" spans="1:14" ht="34.5" customHeight="1" x14ac:dyDescent="0.25">
      <c r="A128" s="26"/>
      <c r="B128" s="35"/>
      <c r="C128" s="27"/>
      <c r="D128" s="28"/>
      <c r="E128" s="36"/>
      <c r="F128" s="36"/>
      <c r="G128" s="30"/>
      <c r="H128" s="30"/>
      <c r="I128" s="31"/>
      <c r="J128" s="32"/>
      <c r="K128" s="32" t="b">
        <f t="shared" si="2"/>
        <v>0</v>
      </c>
      <c r="L128" s="61">
        <f t="shared" si="3"/>
        <v>0</v>
      </c>
      <c r="M128" s="33"/>
      <c r="N128" s="34"/>
    </row>
    <row r="129" spans="1:14" ht="34.5" customHeight="1" x14ac:dyDescent="0.25">
      <c r="A129" s="49"/>
      <c r="B129" s="35"/>
      <c r="C129" s="27"/>
      <c r="D129" s="28"/>
      <c r="E129" s="36"/>
      <c r="F129" s="36"/>
      <c r="G129" s="28"/>
      <c r="H129" s="28"/>
      <c r="I129" s="31"/>
      <c r="J129" s="32"/>
      <c r="K129" s="32" t="b">
        <f t="shared" si="2"/>
        <v>0</v>
      </c>
      <c r="L129" s="61">
        <f t="shared" si="3"/>
        <v>0</v>
      </c>
      <c r="M129" s="33"/>
      <c r="N129" s="34"/>
    </row>
    <row r="130" spans="1:14" ht="34.5" customHeight="1" x14ac:dyDescent="0.25">
      <c r="A130" s="51"/>
      <c r="B130" s="45"/>
      <c r="C130" s="27"/>
      <c r="D130" s="75"/>
      <c r="E130" s="53"/>
      <c r="F130" s="53"/>
      <c r="G130" s="46"/>
      <c r="H130" s="46"/>
      <c r="I130" s="31"/>
      <c r="J130" s="32"/>
      <c r="K130" s="32" t="b">
        <f t="shared" si="2"/>
        <v>0</v>
      </c>
      <c r="L130" s="61">
        <f t="shared" si="3"/>
        <v>0</v>
      </c>
      <c r="M130" s="33"/>
      <c r="N130" s="34"/>
    </row>
    <row r="131" spans="1:14" ht="34.5" customHeight="1" x14ac:dyDescent="0.25">
      <c r="A131" s="26"/>
      <c r="B131" s="45"/>
      <c r="C131" s="27"/>
      <c r="D131" s="46"/>
      <c r="E131" s="53"/>
      <c r="F131" s="53"/>
      <c r="G131" s="43"/>
      <c r="H131" s="43"/>
      <c r="I131" s="31"/>
      <c r="J131" s="32"/>
      <c r="K131" s="32" t="b">
        <f t="shared" si="2"/>
        <v>0</v>
      </c>
      <c r="L131" s="61">
        <f t="shared" si="3"/>
        <v>0</v>
      </c>
      <c r="M131" s="33"/>
      <c r="N131" s="34"/>
    </row>
    <row r="132" spans="1:14" ht="34.5" customHeight="1" x14ac:dyDescent="0.25">
      <c r="A132" s="49"/>
      <c r="B132" s="50"/>
      <c r="C132" s="27"/>
      <c r="D132" s="75"/>
      <c r="E132" s="36"/>
      <c r="F132" s="36"/>
      <c r="G132" s="28"/>
      <c r="H132" s="28"/>
      <c r="I132" s="31"/>
      <c r="J132" s="32"/>
      <c r="K132" s="32" t="b">
        <f t="shared" si="2"/>
        <v>0</v>
      </c>
      <c r="L132" s="61">
        <f t="shared" si="3"/>
        <v>0</v>
      </c>
      <c r="M132" s="33"/>
      <c r="N132" s="34"/>
    </row>
    <row r="133" spans="1:14" ht="34.5" customHeight="1" x14ac:dyDescent="0.25">
      <c r="A133" s="26"/>
      <c r="B133" s="35"/>
      <c r="C133" s="27"/>
      <c r="D133" s="75"/>
      <c r="E133" s="36"/>
      <c r="F133" s="36"/>
      <c r="G133" s="28"/>
      <c r="H133" s="28"/>
      <c r="I133" s="31"/>
      <c r="J133" s="32"/>
      <c r="K133" s="32" t="b">
        <f t="shared" ref="K133:K196" si="4">IF(J133="b","0,6",IF(J133="r","0,2",IF(J133="o",0.8)))</f>
        <v>0</v>
      </c>
      <c r="L133" s="61">
        <f t="shared" ref="L133:L196" si="5">K133*I133</f>
        <v>0</v>
      </c>
      <c r="M133" s="33"/>
      <c r="N133" s="34"/>
    </row>
    <row r="134" spans="1:14" ht="34.5" customHeight="1" x14ac:dyDescent="0.25">
      <c r="A134" s="49"/>
      <c r="B134" s="35"/>
      <c r="C134" s="70"/>
      <c r="D134" s="75"/>
      <c r="E134" s="36"/>
      <c r="F134" s="36"/>
      <c r="G134" s="82"/>
      <c r="H134" s="82"/>
      <c r="I134" s="31"/>
      <c r="J134" s="32"/>
      <c r="K134" s="32" t="b">
        <f t="shared" si="4"/>
        <v>0</v>
      </c>
      <c r="L134" s="61">
        <f t="shared" si="5"/>
        <v>0</v>
      </c>
      <c r="M134" s="33"/>
      <c r="N134" s="34"/>
    </row>
    <row r="135" spans="1:14" ht="34.5" customHeight="1" x14ac:dyDescent="0.25">
      <c r="A135" s="26"/>
      <c r="B135" s="35"/>
      <c r="C135" s="27"/>
      <c r="D135" s="28"/>
      <c r="E135" s="36"/>
      <c r="F135" s="36"/>
      <c r="G135" s="30"/>
      <c r="H135" s="30"/>
      <c r="I135" s="31"/>
      <c r="J135" s="32"/>
      <c r="K135" s="32" t="b">
        <f t="shared" si="4"/>
        <v>0</v>
      </c>
      <c r="L135" s="61">
        <f t="shared" si="5"/>
        <v>0</v>
      </c>
      <c r="M135" s="33"/>
      <c r="N135" s="34"/>
    </row>
    <row r="136" spans="1:14" ht="34.5" customHeight="1" x14ac:dyDescent="0.25">
      <c r="A136" s="26"/>
      <c r="B136" s="35"/>
      <c r="C136" s="27"/>
      <c r="D136" s="28"/>
      <c r="E136" s="36"/>
      <c r="F136" s="36"/>
      <c r="G136" s="30"/>
      <c r="H136" s="30"/>
      <c r="I136" s="31"/>
      <c r="J136" s="32"/>
      <c r="K136" s="32" t="b">
        <f t="shared" si="4"/>
        <v>0</v>
      </c>
      <c r="L136" s="61">
        <f t="shared" si="5"/>
        <v>0</v>
      </c>
      <c r="M136" s="33"/>
      <c r="N136" s="34"/>
    </row>
    <row r="137" spans="1:14" ht="34.5" customHeight="1" x14ac:dyDescent="0.25">
      <c r="A137" s="26"/>
      <c r="B137" s="45"/>
      <c r="C137" s="27"/>
      <c r="D137" s="28"/>
      <c r="E137" s="53"/>
      <c r="F137" s="53"/>
      <c r="G137" s="30"/>
      <c r="H137" s="30"/>
      <c r="I137" s="31"/>
      <c r="J137" s="32"/>
      <c r="K137" s="32" t="b">
        <f t="shared" si="4"/>
        <v>0</v>
      </c>
      <c r="L137" s="61">
        <f t="shared" si="5"/>
        <v>0</v>
      </c>
      <c r="M137" s="33"/>
      <c r="N137" s="34"/>
    </row>
    <row r="138" spans="1:14" ht="34.5" customHeight="1" x14ac:dyDescent="0.25">
      <c r="A138" s="26"/>
      <c r="B138" s="45"/>
      <c r="C138" s="27"/>
      <c r="D138" s="28"/>
      <c r="E138" s="53"/>
      <c r="F138" s="53"/>
      <c r="G138" s="30"/>
      <c r="H138" s="30"/>
      <c r="I138" s="31"/>
      <c r="J138" s="32"/>
      <c r="K138" s="32" t="b">
        <f t="shared" si="4"/>
        <v>0</v>
      </c>
      <c r="L138" s="61">
        <f t="shared" si="5"/>
        <v>0</v>
      </c>
      <c r="M138" s="33"/>
      <c r="N138" s="34"/>
    </row>
    <row r="139" spans="1:14" ht="34.5" customHeight="1" x14ac:dyDescent="0.25">
      <c r="A139" s="26"/>
      <c r="B139" s="45"/>
      <c r="C139" s="27"/>
      <c r="D139" s="28"/>
      <c r="E139" s="53"/>
      <c r="F139" s="53"/>
      <c r="G139" s="30"/>
      <c r="H139" s="30"/>
      <c r="I139" s="31"/>
      <c r="J139" s="32"/>
      <c r="K139" s="32" t="b">
        <f t="shared" si="4"/>
        <v>0</v>
      </c>
      <c r="L139" s="61">
        <f t="shared" si="5"/>
        <v>0</v>
      </c>
      <c r="M139" s="33"/>
      <c r="N139" s="34"/>
    </row>
    <row r="140" spans="1:14" ht="34.5" customHeight="1" x14ac:dyDescent="0.25">
      <c r="A140" s="26"/>
      <c r="B140" s="45"/>
      <c r="C140" s="27"/>
      <c r="D140" s="28"/>
      <c r="E140" s="53"/>
      <c r="F140" s="53"/>
      <c r="G140" s="30"/>
      <c r="H140" s="30"/>
      <c r="I140" s="31"/>
      <c r="J140" s="32"/>
      <c r="K140" s="32" t="b">
        <f t="shared" si="4"/>
        <v>0</v>
      </c>
      <c r="L140" s="61">
        <f t="shared" si="5"/>
        <v>0</v>
      </c>
      <c r="M140" s="33"/>
      <c r="N140" s="34"/>
    </row>
    <row r="141" spans="1:14" ht="34.5" customHeight="1" x14ac:dyDescent="0.25">
      <c r="A141" s="26"/>
      <c r="B141" s="35"/>
      <c r="C141" s="27"/>
      <c r="D141" s="75"/>
      <c r="E141" s="36"/>
      <c r="F141" s="36"/>
      <c r="G141" s="30"/>
      <c r="H141" s="30"/>
      <c r="I141" s="31"/>
      <c r="J141" s="32"/>
      <c r="K141" s="32" t="b">
        <f t="shared" si="4"/>
        <v>0</v>
      </c>
      <c r="L141" s="61">
        <f t="shared" si="5"/>
        <v>0</v>
      </c>
      <c r="M141" s="33"/>
      <c r="N141" s="34"/>
    </row>
    <row r="142" spans="1:14" ht="34.5" customHeight="1" x14ac:dyDescent="0.25">
      <c r="A142" s="26"/>
      <c r="B142" s="35"/>
      <c r="C142" s="27"/>
      <c r="D142" s="75"/>
      <c r="E142" s="36"/>
      <c r="F142" s="53"/>
      <c r="G142" s="30"/>
      <c r="H142" s="30"/>
      <c r="I142" s="31"/>
      <c r="J142" s="32"/>
      <c r="K142" s="32" t="b">
        <f t="shared" si="4"/>
        <v>0</v>
      </c>
      <c r="L142" s="61">
        <f t="shared" si="5"/>
        <v>0</v>
      </c>
      <c r="M142" s="33"/>
      <c r="N142" s="34"/>
    </row>
    <row r="143" spans="1:14" ht="34.5" customHeight="1" x14ac:dyDescent="0.25">
      <c r="A143" s="26"/>
      <c r="B143" s="35"/>
      <c r="C143" s="27"/>
      <c r="D143" s="75"/>
      <c r="E143" s="36"/>
      <c r="F143" s="36"/>
      <c r="G143" s="30"/>
      <c r="H143" s="30"/>
      <c r="I143" s="31"/>
      <c r="J143" s="32"/>
      <c r="K143" s="32" t="b">
        <f t="shared" si="4"/>
        <v>0</v>
      </c>
      <c r="L143" s="61">
        <f t="shared" si="5"/>
        <v>0</v>
      </c>
      <c r="M143" s="33"/>
      <c r="N143" s="34"/>
    </row>
    <row r="144" spans="1:14" ht="34.5" customHeight="1" x14ac:dyDescent="0.25">
      <c r="A144" s="26"/>
      <c r="B144" s="35"/>
      <c r="C144" s="27"/>
      <c r="D144" s="28"/>
      <c r="E144" s="36"/>
      <c r="F144" s="36"/>
      <c r="G144" s="30"/>
      <c r="H144" s="30"/>
      <c r="I144" s="31"/>
      <c r="J144" s="32"/>
      <c r="K144" s="32" t="b">
        <f t="shared" si="4"/>
        <v>0</v>
      </c>
      <c r="L144" s="61">
        <f t="shared" si="5"/>
        <v>0</v>
      </c>
      <c r="M144" s="33"/>
      <c r="N144" s="34"/>
    </row>
    <row r="145" spans="1:14" ht="34.5" customHeight="1" x14ac:dyDescent="0.25">
      <c r="A145" s="26"/>
      <c r="B145" s="35"/>
      <c r="C145" s="27"/>
      <c r="D145" s="28"/>
      <c r="E145" s="36"/>
      <c r="F145" s="36"/>
      <c r="G145" s="30"/>
      <c r="H145" s="30"/>
      <c r="I145" s="31"/>
      <c r="J145" s="32"/>
      <c r="K145" s="32" t="b">
        <f t="shared" si="4"/>
        <v>0</v>
      </c>
      <c r="L145" s="61">
        <f t="shared" si="5"/>
        <v>0</v>
      </c>
      <c r="M145" s="33"/>
      <c r="N145" s="34"/>
    </row>
    <row r="146" spans="1:14" ht="34.5" customHeight="1" x14ac:dyDescent="0.25">
      <c r="A146" s="26"/>
      <c r="B146" s="35"/>
      <c r="C146" s="27"/>
      <c r="D146" s="28"/>
      <c r="E146" s="36"/>
      <c r="F146" s="36"/>
      <c r="G146" s="30"/>
      <c r="H146" s="30"/>
      <c r="I146" s="31"/>
      <c r="J146" s="32"/>
      <c r="K146" s="32" t="b">
        <f t="shared" si="4"/>
        <v>0</v>
      </c>
      <c r="L146" s="61">
        <f t="shared" si="5"/>
        <v>0</v>
      </c>
      <c r="M146" s="33"/>
      <c r="N146" s="34"/>
    </row>
    <row r="147" spans="1:14" ht="34.5" customHeight="1" x14ac:dyDescent="0.25">
      <c r="A147" s="26"/>
      <c r="B147" s="35"/>
      <c r="C147" s="27"/>
      <c r="D147" s="28"/>
      <c r="E147" s="36"/>
      <c r="F147" s="36"/>
      <c r="G147" s="43"/>
      <c r="H147" s="43"/>
      <c r="I147" s="31"/>
      <c r="J147" s="32"/>
      <c r="K147" s="32" t="b">
        <f t="shared" si="4"/>
        <v>0</v>
      </c>
      <c r="L147" s="61">
        <f t="shared" si="5"/>
        <v>0</v>
      </c>
      <c r="M147" s="33"/>
      <c r="N147" s="34"/>
    </row>
    <row r="148" spans="1:14" ht="34.5" customHeight="1" x14ac:dyDescent="0.25">
      <c r="A148" s="26"/>
      <c r="B148" s="45"/>
      <c r="C148" s="27"/>
      <c r="D148" s="28"/>
      <c r="E148" s="53"/>
      <c r="F148" s="53"/>
      <c r="G148" s="42"/>
      <c r="H148" s="42"/>
      <c r="I148" s="31"/>
      <c r="J148" s="32"/>
      <c r="K148" s="32" t="b">
        <f t="shared" si="4"/>
        <v>0</v>
      </c>
      <c r="L148" s="61">
        <f t="shared" si="5"/>
        <v>0</v>
      </c>
      <c r="M148" s="33"/>
      <c r="N148" s="34"/>
    </row>
    <row r="149" spans="1:14" ht="34.5" customHeight="1" x14ac:dyDescent="0.25">
      <c r="A149" s="26"/>
      <c r="B149" s="45"/>
      <c r="C149" s="27"/>
      <c r="D149" s="28"/>
      <c r="E149" s="53"/>
      <c r="F149" s="53"/>
      <c r="G149" s="42"/>
      <c r="H149" s="42"/>
      <c r="I149" s="31"/>
      <c r="J149" s="32"/>
      <c r="K149" s="32" t="b">
        <f t="shared" si="4"/>
        <v>0</v>
      </c>
      <c r="L149" s="61">
        <f t="shared" si="5"/>
        <v>0</v>
      </c>
      <c r="M149" s="33"/>
      <c r="N149" s="34"/>
    </row>
    <row r="150" spans="1:14" ht="34.5" customHeight="1" x14ac:dyDescent="0.25">
      <c r="A150" s="26"/>
      <c r="B150" s="35"/>
      <c r="C150" s="27"/>
      <c r="D150" s="28"/>
      <c r="E150" s="36"/>
      <c r="F150" s="36"/>
      <c r="G150" s="30"/>
      <c r="H150" s="30"/>
      <c r="I150" s="31"/>
      <c r="J150" s="32"/>
      <c r="K150" s="32" t="b">
        <f t="shared" si="4"/>
        <v>0</v>
      </c>
      <c r="L150" s="61">
        <f t="shared" si="5"/>
        <v>0</v>
      </c>
      <c r="M150" s="33"/>
      <c r="N150" s="34"/>
    </row>
    <row r="151" spans="1:14" ht="34.5" customHeight="1" x14ac:dyDescent="0.25">
      <c r="A151" s="26"/>
      <c r="B151" s="35"/>
      <c r="C151" s="27"/>
      <c r="D151" s="28"/>
      <c r="E151" s="36"/>
      <c r="F151" s="36"/>
      <c r="G151" s="30"/>
      <c r="H151" s="30"/>
      <c r="I151" s="31"/>
      <c r="J151" s="32"/>
      <c r="K151" s="32" t="b">
        <f t="shared" si="4"/>
        <v>0</v>
      </c>
      <c r="L151" s="61">
        <f t="shared" si="5"/>
        <v>0</v>
      </c>
      <c r="M151" s="33"/>
      <c r="N151" s="34"/>
    </row>
    <row r="152" spans="1:14" ht="34.5" customHeight="1" x14ac:dyDescent="0.25">
      <c r="A152" s="26"/>
      <c r="B152" s="35"/>
      <c r="C152" s="27"/>
      <c r="D152" s="28"/>
      <c r="E152" s="36"/>
      <c r="F152" s="36"/>
      <c r="G152" s="30"/>
      <c r="H152" s="30"/>
      <c r="I152" s="31"/>
      <c r="J152" s="32"/>
      <c r="K152" s="32" t="b">
        <f t="shared" si="4"/>
        <v>0</v>
      </c>
      <c r="L152" s="61">
        <f t="shared" si="5"/>
        <v>0</v>
      </c>
      <c r="M152" s="33"/>
      <c r="N152" s="34"/>
    </row>
    <row r="153" spans="1:14" ht="34.5" customHeight="1" x14ac:dyDescent="0.25">
      <c r="A153" s="26"/>
      <c r="B153" s="35"/>
      <c r="C153" s="27"/>
      <c r="D153" s="28"/>
      <c r="E153" s="36"/>
      <c r="F153" s="36"/>
      <c r="G153" s="30"/>
      <c r="H153" s="30"/>
      <c r="I153" s="31"/>
      <c r="J153" s="32"/>
      <c r="K153" s="32" t="b">
        <f t="shared" si="4"/>
        <v>0</v>
      </c>
      <c r="L153" s="61">
        <f t="shared" si="5"/>
        <v>0</v>
      </c>
      <c r="M153" s="33"/>
      <c r="N153" s="34"/>
    </row>
    <row r="154" spans="1:14" ht="34.5" customHeight="1" x14ac:dyDescent="0.25">
      <c r="A154" s="26"/>
      <c r="B154" s="35"/>
      <c r="C154" s="27"/>
      <c r="D154" s="28"/>
      <c r="E154" s="36"/>
      <c r="F154" s="36"/>
      <c r="G154" s="30"/>
      <c r="H154" s="30"/>
      <c r="I154" s="31"/>
      <c r="J154" s="32"/>
      <c r="K154" s="32" t="b">
        <f t="shared" si="4"/>
        <v>0</v>
      </c>
      <c r="L154" s="61">
        <f t="shared" si="5"/>
        <v>0</v>
      </c>
      <c r="M154" s="33"/>
      <c r="N154" s="34"/>
    </row>
    <row r="155" spans="1:14" ht="34.5" customHeight="1" x14ac:dyDescent="0.25">
      <c r="A155" s="26"/>
      <c r="B155" s="35"/>
      <c r="C155" s="27"/>
      <c r="D155" s="28"/>
      <c r="E155" s="36"/>
      <c r="F155" s="36"/>
      <c r="G155" s="30"/>
      <c r="H155" s="30"/>
      <c r="I155" s="31"/>
      <c r="J155" s="32"/>
      <c r="K155" s="32" t="b">
        <f t="shared" si="4"/>
        <v>0</v>
      </c>
      <c r="L155" s="61">
        <f t="shared" si="5"/>
        <v>0</v>
      </c>
      <c r="M155" s="33"/>
      <c r="N155" s="34"/>
    </row>
    <row r="156" spans="1:14" ht="34.5" customHeight="1" x14ac:dyDescent="0.25">
      <c r="A156" s="26"/>
      <c r="B156" s="35"/>
      <c r="C156" s="27"/>
      <c r="D156" s="28"/>
      <c r="E156" s="36"/>
      <c r="F156" s="36"/>
      <c r="G156" s="30"/>
      <c r="H156" s="30"/>
      <c r="I156" s="31"/>
      <c r="J156" s="32"/>
      <c r="K156" s="32" t="b">
        <f t="shared" si="4"/>
        <v>0</v>
      </c>
      <c r="L156" s="61">
        <f t="shared" si="5"/>
        <v>0</v>
      </c>
      <c r="M156" s="33"/>
      <c r="N156" s="34"/>
    </row>
    <row r="157" spans="1:14" ht="34.5" customHeight="1" x14ac:dyDescent="0.25">
      <c r="A157" s="26"/>
      <c r="B157" s="35"/>
      <c r="C157" s="27"/>
      <c r="D157" s="28"/>
      <c r="E157" s="36"/>
      <c r="F157" s="36"/>
      <c r="G157" s="30"/>
      <c r="H157" s="30"/>
      <c r="I157" s="31"/>
      <c r="J157" s="32"/>
      <c r="K157" s="32" t="b">
        <f t="shared" si="4"/>
        <v>0</v>
      </c>
      <c r="L157" s="61">
        <f t="shared" si="5"/>
        <v>0</v>
      </c>
      <c r="M157" s="33"/>
      <c r="N157" s="34"/>
    </row>
    <row r="158" spans="1:14" ht="34.5" customHeight="1" x14ac:dyDescent="0.25">
      <c r="A158" s="26"/>
      <c r="B158" s="35"/>
      <c r="C158" s="27"/>
      <c r="D158" s="28"/>
      <c r="E158" s="36"/>
      <c r="F158" s="36"/>
      <c r="G158" s="30"/>
      <c r="H158" s="30"/>
      <c r="I158" s="31"/>
      <c r="J158" s="32"/>
      <c r="K158" s="32" t="b">
        <f t="shared" si="4"/>
        <v>0</v>
      </c>
      <c r="L158" s="61">
        <f t="shared" si="5"/>
        <v>0</v>
      </c>
      <c r="M158" s="33"/>
      <c r="N158" s="34"/>
    </row>
    <row r="159" spans="1:14" ht="34.5" customHeight="1" x14ac:dyDescent="0.25">
      <c r="A159" s="26"/>
      <c r="B159" s="35"/>
      <c r="C159" s="27"/>
      <c r="D159" s="28"/>
      <c r="E159" s="36"/>
      <c r="F159" s="36"/>
      <c r="G159" s="30"/>
      <c r="H159" s="30"/>
      <c r="I159" s="31"/>
      <c r="J159" s="32"/>
      <c r="K159" s="32" t="b">
        <f t="shared" si="4"/>
        <v>0</v>
      </c>
      <c r="L159" s="61">
        <f t="shared" si="5"/>
        <v>0</v>
      </c>
      <c r="M159" s="33"/>
      <c r="N159" s="34"/>
    </row>
    <row r="160" spans="1:14" ht="34.5" customHeight="1" x14ac:dyDescent="0.25">
      <c r="A160" s="26"/>
      <c r="B160" s="35"/>
      <c r="C160" s="27"/>
      <c r="D160" s="28"/>
      <c r="E160" s="36"/>
      <c r="F160" s="36"/>
      <c r="G160" s="30"/>
      <c r="H160" s="30"/>
      <c r="I160" s="31"/>
      <c r="J160" s="32"/>
      <c r="K160" s="32" t="b">
        <f t="shared" si="4"/>
        <v>0</v>
      </c>
      <c r="L160" s="61">
        <f t="shared" si="5"/>
        <v>0</v>
      </c>
      <c r="M160" s="33"/>
      <c r="N160" s="34"/>
    </row>
    <row r="161" spans="1:14" ht="34.5" customHeight="1" x14ac:dyDescent="0.25">
      <c r="A161" s="26"/>
      <c r="B161" s="52"/>
      <c r="C161" s="27"/>
      <c r="D161" s="28"/>
      <c r="E161" s="36"/>
      <c r="F161" s="36"/>
      <c r="G161" s="30"/>
      <c r="H161" s="30"/>
      <c r="I161" s="31"/>
      <c r="J161" s="32"/>
      <c r="K161" s="32" t="b">
        <f t="shared" si="4"/>
        <v>0</v>
      </c>
      <c r="L161" s="61">
        <f t="shared" si="5"/>
        <v>0</v>
      </c>
      <c r="M161" s="33"/>
      <c r="N161" s="34"/>
    </row>
    <row r="162" spans="1:14" ht="34.5" customHeight="1" x14ac:dyDescent="0.25">
      <c r="A162" s="26"/>
      <c r="B162" s="52"/>
      <c r="C162" s="27"/>
      <c r="D162" s="28"/>
      <c r="E162" s="36"/>
      <c r="F162" s="36"/>
      <c r="G162" s="30"/>
      <c r="H162" s="30"/>
      <c r="I162" s="31"/>
      <c r="J162" s="32"/>
      <c r="K162" s="32" t="b">
        <f t="shared" si="4"/>
        <v>0</v>
      </c>
      <c r="L162" s="61">
        <f t="shared" si="5"/>
        <v>0</v>
      </c>
      <c r="M162" s="33"/>
      <c r="N162" s="34"/>
    </row>
    <row r="163" spans="1:14" ht="34.5" customHeight="1" x14ac:dyDescent="0.25">
      <c r="A163" s="26"/>
      <c r="B163" s="52"/>
      <c r="C163" s="27"/>
      <c r="D163" s="28"/>
      <c r="E163" s="36"/>
      <c r="F163" s="36"/>
      <c r="G163" s="30"/>
      <c r="H163" s="30"/>
      <c r="I163" s="31"/>
      <c r="J163" s="32"/>
      <c r="K163" s="32" t="b">
        <f t="shared" si="4"/>
        <v>0</v>
      </c>
      <c r="L163" s="61">
        <f t="shared" si="5"/>
        <v>0</v>
      </c>
      <c r="M163" s="33"/>
      <c r="N163" s="34"/>
    </row>
    <row r="164" spans="1:14" ht="34.5" customHeight="1" x14ac:dyDescent="0.25">
      <c r="A164" s="26"/>
      <c r="B164" s="52"/>
      <c r="C164" s="27"/>
      <c r="D164" s="28"/>
      <c r="E164" s="36"/>
      <c r="F164" s="36"/>
      <c r="G164" s="30"/>
      <c r="H164" s="30"/>
      <c r="I164" s="31"/>
      <c r="J164" s="32"/>
      <c r="K164" s="32" t="b">
        <f t="shared" si="4"/>
        <v>0</v>
      </c>
      <c r="L164" s="61">
        <f t="shared" si="5"/>
        <v>0</v>
      </c>
      <c r="M164" s="33"/>
      <c r="N164" s="34"/>
    </row>
    <row r="165" spans="1:14" ht="34.5" customHeight="1" x14ac:dyDescent="0.25">
      <c r="A165" s="26"/>
      <c r="B165" s="52"/>
      <c r="C165" s="27"/>
      <c r="D165" s="28"/>
      <c r="E165" s="36"/>
      <c r="F165" s="36"/>
      <c r="G165" s="30"/>
      <c r="H165" s="30"/>
      <c r="I165" s="31"/>
      <c r="J165" s="32"/>
      <c r="K165" s="32" t="b">
        <f t="shared" si="4"/>
        <v>0</v>
      </c>
      <c r="L165" s="61">
        <f t="shared" si="5"/>
        <v>0</v>
      </c>
      <c r="M165" s="33"/>
      <c r="N165" s="34"/>
    </row>
    <row r="166" spans="1:14" ht="34.5" customHeight="1" x14ac:dyDescent="0.25">
      <c r="A166" s="26"/>
      <c r="B166" s="35"/>
      <c r="C166" s="27"/>
      <c r="D166" s="28"/>
      <c r="E166" s="36"/>
      <c r="F166" s="36"/>
      <c r="G166" s="30"/>
      <c r="H166" s="30"/>
      <c r="I166" s="31"/>
      <c r="J166" s="32"/>
      <c r="K166" s="32" t="b">
        <f t="shared" si="4"/>
        <v>0</v>
      </c>
      <c r="L166" s="61">
        <f t="shared" si="5"/>
        <v>0</v>
      </c>
      <c r="M166" s="33"/>
      <c r="N166" s="34"/>
    </row>
    <row r="167" spans="1:14" ht="34.5" customHeight="1" x14ac:dyDescent="0.25">
      <c r="A167" s="26"/>
      <c r="B167" s="35"/>
      <c r="C167" s="27"/>
      <c r="D167" s="75"/>
      <c r="E167" s="36"/>
      <c r="F167" s="36"/>
      <c r="G167" s="30"/>
      <c r="H167" s="30"/>
      <c r="I167" s="31"/>
      <c r="J167" s="32"/>
      <c r="K167" s="32" t="b">
        <f t="shared" si="4"/>
        <v>0</v>
      </c>
      <c r="L167" s="61">
        <f t="shared" si="5"/>
        <v>0</v>
      </c>
      <c r="M167" s="33"/>
      <c r="N167" s="34"/>
    </row>
    <row r="168" spans="1:14" ht="34.5" customHeight="1" x14ac:dyDescent="0.25">
      <c r="A168" s="26"/>
      <c r="B168" s="35"/>
      <c r="C168" s="27"/>
      <c r="D168" s="75"/>
      <c r="E168" s="36"/>
      <c r="F168" s="36"/>
      <c r="G168" s="30"/>
      <c r="H168" s="30"/>
      <c r="I168" s="31"/>
      <c r="J168" s="32"/>
      <c r="K168" s="32" t="b">
        <f t="shared" si="4"/>
        <v>0</v>
      </c>
      <c r="L168" s="61">
        <f t="shared" si="5"/>
        <v>0</v>
      </c>
      <c r="M168" s="33"/>
      <c r="N168" s="34"/>
    </row>
    <row r="169" spans="1:14" ht="34.5" customHeight="1" x14ac:dyDescent="0.25">
      <c r="A169" s="26"/>
      <c r="B169" s="35"/>
      <c r="C169" s="27"/>
      <c r="D169" s="28"/>
      <c r="E169" s="36"/>
      <c r="F169" s="36"/>
      <c r="G169" s="30"/>
      <c r="H169" s="30"/>
      <c r="I169" s="31"/>
      <c r="J169" s="32"/>
      <c r="K169" s="32" t="b">
        <f t="shared" si="4"/>
        <v>0</v>
      </c>
      <c r="L169" s="61">
        <f t="shared" si="5"/>
        <v>0</v>
      </c>
      <c r="M169" s="33"/>
      <c r="N169" s="34"/>
    </row>
    <row r="170" spans="1:14" ht="34.5" customHeight="1" x14ac:dyDescent="0.25">
      <c r="A170" s="26"/>
      <c r="B170" s="35"/>
      <c r="C170" s="27"/>
      <c r="D170" s="28"/>
      <c r="E170" s="36"/>
      <c r="F170" s="36"/>
      <c r="G170" s="30"/>
      <c r="H170" s="30"/>
      <c r="I170" s="31"/>
      <c r="J170" s="32"/>
      <c r="K170" s="32" t="b">
        <f t="shared" si="4"/>
        <v>0</v>
      </c>
      <c r="L170" s="61">
        <f t="shared" si="5"/>
        <v>0</v>
      </c>
      <c r="M170" s="33"/>
      <c r="N170" s="34"/>
    </row>
    <row r="171" spans="1:14" ht="34.5" customHeight="1" x14ac:dyDescent="0.25">
      <c r="A171" s="26"/>
      <c r="B171" s="35"/>
      <c r="C171" s="27"/>
      <c r="D171" s="28"/>
      <c r="E171" s="36"/>
      <c r="F171" s="36"/>
      <c r="G171" s="30"/>
      <c r="H171" s="30"/>
      <c r="I171" s="31"/>
      <c r="J171" s="32"/>
      <c r="K171" s="32" t="b">
        <f t="shared" si="4"/>
        <v>0</v>
      </c>
      <c r="L171" s="61">
        <f t="shared" si="5"/>
        <v>0</v>
      </c>
      <c r="M171" s="33"/>
      <c r="N171" s="34"/>
    </row>
    <row r="172" spans="1:14" ht="34.5" customHeight="1" x14ac:dyDescent="0.25">
      <c r="A172" s="26"/>
      <c r="B172" s="35"/>
      <c r="C172" s="27"/>
      <c r="D172" s="28"/>
      <c r="E172" s="36"/>
      <c r="F172" s="36"/>
      <c r="G172" s="30"/>
      <c r="H172" s="30"/>
      <c r="I172" s="31"/>
      <c r="J172" s="32"/>
      <c r="K172" s="32" t="b">
        <f t="shared" si="4"/>
        <v>0</v>
      </c>
      <c r="L172" s="61">
        <f t="shared" si="5"/>
        <v>0</v>
      </c>
      <c r="M172" s="33"/>
      <c r="N172" s="34"/>
    </row>
    <row r="173" spans="1:14" ht="34.5" customHeight="1" x14ac:dyDescent="0.25">
      <c r="A173" s="26"/>
      <c r="B173" s="74"/>
      <c r="C173" s="27"/>
      <c r="D173" s="28"/>
      <c r="E173" s="78"/>
      <c r="F173" s="78"/>
      <c r="G173" s="80"/>
      <c r="H173" s="90"/>
      <c r="I173" s="31"/>
      <c r="J173" s="32"/>
      <c r="K173" s="32" t="b">
        <f t="shared" si="4"/>
        <v>0</v>
      </c>
      <c r="L173" s="61">
        <f t="shared" si="5"/>
        <v>0</v>
      </c>
      <c r="M173" s="33"/>
      <c r="N173" s="34"/>
    </row>
    <row r="174" spans="1:14" ht="34.5" customHeight="1" x14ac:dyDescent="0.25">
      <c r="A174" s="26"/>
      <c r="B174" s="73"/>
      <c r="C174" s="27"/>
      <c r="D174" s="28"/>
      <c r="E174" s="77"/>
      <c r="F174" s="77"/>
      <c r="G174" s="79"/>
      <c r="H174" s="91"/>
      <c r="I174" s="31"/>
      <c r="J174" s="32"/>
      <c r="K174" s="32" t="b">
        <f t="shared" si="4"/>
        <v>0</v>
      </c>
      <c r="L174" s="61">
        <f t="shared" si="5"/>
        <v>0</v>
      </c>
      <c r="M174" s="33"/>
      <c r="N174" s="34"/>
    </row>
    <row r="175" spans="1:14" ht="34.5" customHeight="1" x14ac:dyDescent="0.25">
      <c r="A175" s="26"/>
      <c r="B175" s="73"/>
      <c r="C175" s="27"/>
      <c r="D175" s="75"/>
      <c r="E175" s="77"/>
      <c r="F175" s="77"/>
      <c r="G175" s="79"/>
      <c r="H175" s="91"/>
      <c r="I175" s="31"/>
      <c r="J175" s="32"/>
      <c r="K175" s="32" t="b">
        <f t="shared" si="4"/>
        <v>0</v>
      </c>
      <c r="L175" s="61">
        <f t="shared" si="5"/>
        <v>0</v>
      </c>
      <c r="M175" s="33"/>
      <c r="N175" s="34"/>
    </row>
    <row r="176" spans="1:14" ht="34.5" customHeight="1" x14ac:dyDescent="0.25">
      <c r="A176" s="26"/>
      <c r="B176" s="73"/>
      <c r="C176" s="27"/>
      <c r="D176" s="75"/>
      <c r="E176" s="77"/>
      <c r="F176" s="77"/>
      <c r="G176" s="79"/>
      <c r="H176" s="91"/>
      <c r="I176" s="31"/>
      <c r="J176" s="32"/>
      <c r="K176" s="32" t="b">
        <f t="shared" si="4"/>
        <v>0</v>
      </c>
      <c r="L176" s="61">
        <f t="shared" si="5"/>
        <v>0</v>
      </c>
      <c r="M176" s="33"/>
      <c r="N176" s="34"/>
    </row>
    <row r="177" spans="1:14" ht="34.5" customHeight="1" x14ac:dyDescent="0.25">
      <c r="A177" s="26"/>
      <c r="B177" s="73"/>
      <c r="C177" s="27"/>
      <c r="D177" s="76"/>
      <c r="E177" s="77"/>
      <c r="F177" s="77"/>
      <c r="G177" s="79"/>
      <c r="H177" s="91"/>
      <c r="I177" s="31"/>
      <c r="J177" s="32"/>
      <c r="K177" s="32" t="b">
        <f t="shared" si="4"/>
        <v>0</v>
      </c>
      <c r="L177" s="61">
        <f t="shared" si="5"/>
        <v>0</v>
      </c>
      <c r="M177" s="33"/>
      <c r="N177" s="34"/>
    </row>
    <row r="178" spans="1:14" ht="34.5" customHeight="1" x14ac:dyDescent="0.25">
      <c r="A178" s="26"/>
      <c r="B178" s="73"/>
      <c r="C178" s="27"/>
      <c r="D178" s="28"/>
      <c r="E178" s="77"/>
      <c r="F178" s="77"/>
      <c r="G178" s="79"/>
      <c r="H178" s="91"/>
      <c r="I178" s="31"/>
      <c r="J178" s="32"/>
      <c r="K178" s="32" t="b">
        <f t="shared" si="4"/>
        <v>0</v>
      </c>
      <c r="L178" s="61">
        <f t="shared" si="5"/>
        <v>0</v>
      </c>
      <c r="M178" s="33"/>
      <c r="N178" s="34"/>
    </row>
    <row r="179" spans="1:14" ht="34.5" customHeight="1" x14ac:dyDescent="0.25">
      <c r="A179" s="26"/>
      <c r="B179" s="73"/>
      <c r="C179" s="27"/>
      <c r="D179" s="75"/>
      <c r="E179" s="77"/>
      <c r="F179" s="78"/>
      <c r="G179" s="79"/>
      <c r="H179" s="91"/>
      <c r="I179" s="31"/>
      <c r="J179" s="32"/>
      <c r="K179" s="32" t="b">
        <f t="shared" si="4"/>
        <v>0</v>
      </c>
      <c r="L179" s="61">
        <f t="shared" si="5"/>
        <v>0</v>
      </c>
      <c r="M179" s="33"/>
      <c r="N179" s="34"/>
    </row>
    <row r="180" spans="1:14" ht="34.5" customHeight="1" x14ac:dyDescent="0.25">
      <c r="A180" s="26"/>
      <c r="B180" s="73"/>
      <c r="C180" s="27"/>
      <c r="D180" s="28"/>
      <c r="E180" s="77"/>
      <c r="F180" s="78"/>
      <c r="G180" s="79"/>
      <c r="H180" s="91"/>
      <c r="I180" s="31"/>
      <c r="J180" s="32"/>
      <c r="K180" s="32" t="b">
        <f t="shared" si="4"/>
        <v>0</v>
      </c>
      <c r="L180" s="61">
        <f t="shared" si="5"/>
        <v>0</v>
      </c>
      <c r="M180" s="33"/>
      <c r="N180" s="34"/>
    </row>
    <row r="181" spans="1:14" ht="34.5" customHeight="1" x14ac:dyDescent="0.25">
      <c r="A181" s="26"/>
      <c r="B181" s="73"/>
      <c r="C181" s="27"/>
      <c r="D181" s="28"/>
      <c r="E181" s="77"/>
      <c r="F181" s="77"/>
      <c r="G181" s="79"/>
      <c r="H181" s="91"/>
      <c r="I181" s="31"/>
      <c r="J181" s="32"/>
      <c r="K181" s="32" t="b">
        <f t="shared" si="4"/>
        <v>0</v>
      </c>
      <c r="L181" s="61">
        <f t="shared" si="5"/>
        <v>0</v>
      </c>
      <c r="M181" s="33"/>
      <c r="N181" s="34"/>
    </row>
    <row r="182" spans="1:14" ht="34.5" customHeight="1" x14ac:dyDescent="0.25">
      <c r="A182" s="26"/>
      <c r="B182" s="73"/>
      <c r="C182" s="27"/>
      <c r="D182" s="75"/>
      <c r="E182" s="77"/>
      <c r="F182" s="77"/>
      <c r="G182" s="79"/>
      <c r="H182" s="91"/>
      <c r="I182" s="31"/>
      <c r="J182" s="32"/>
      <c r="K182" s="32" t="b">
        <f t="shared" si="4"/>
        <v>0</v>
      </c>
      <c r="L182" s="61">
        <f t="shared" si="5"/>
        <v>0</v>
      </c>
      <c r="M182" s="33"/>
      <c r="N182" s="34"/>
    </row>
    <row r="183" spans="1:14" ht="34.5" customHeight="1" x14ac:dyDescent="0.25">
      <c r="A183" s="26"/>
      <c r="B183" s="35"/>
      <c r="C183" s="27"/>
      <c r="D183" s="28"/>
      <c r="E183" s="36"/>
      <c r="F183" s="36"/>
      <c r="G183" s="30"/>
      <c r="H183" s="30"/>
      <c r="I183" s="31"/>
      <c r="J183" s="32"/>
      <c r="K183" s="32" t="b">
        <f t="shared" si="4"/>
        <v>0</v>
      </c>
      <c r="L183" s="61">
        <f t="shared" si="5"/>
        <v>0</v>
      </c>
      <c r="M183" s="33"/>
      <c r="N183" s="34"/>
    </row>
    <row r="184" spans="1:14" ht="34.5" customHeight="1" x14ac:dyDescent="0.25">
      <c r="A184" s="26"/>
      <c r="B184" s="35"/>
      <c r="C184" s="27"/>
      <c r="D184" s="28"/>
      <c r="E184" s="36"/>
      <c r="F184" s="36"/>
      <c r="G184" s="30"/>
      <c r="H184" s="30"/>
      <c r="I184" s="31"/>
      <c r="J184" s="32"/>
      <c r="K184" s="32" t="b">
        <f t="shared" si="4"/>
        <v>0</v>
      </c>
      <c r="L184" s="61">
        <f t="shared" si="5"/>
        <v>0</v>
      </c>
      <c r="M184" s="33"/>
      <c r="N184" s="34"/>
    </row>
    <row r="185" spans="1:14" ht="34.5" customHeight="1" x14ac:dyDescent="0.25">
      <c r="A185" s="26"/>
      <c r="B185" s="35"/>
      <c r="C185" s="27"/>
      <c r="D185" s="28"/>
      <c r="E185" s="36"/>
      <c r="F185" s="36"/>
      <c r="G185" s="28"/>
      <c r="H185" s="28"/>
      <c r="I185" s="31"/>
      <c r="J185" s="32"/>
      <c r="K185" s="32" t="b">
        <f t="shared" si="4"/>
        <v>0</v>
      </c>
      <c r="L185" s="61">
        <f t="shared" si="5"/>
        <v>0</v>
      </c>
      <c r="M185" s="33"/>
      <c r="N185" s="34"/>
    </row>
    <row r="186" spans="1:14" ht="34.5" customHeight="1" x14ac:dyDescent="0.25">
      <c r="A186" s="26"/>
      <c r="B186" s="35"/>
      <c r="C186" s="27"/>
      <c r="D186" s="28"/>
      <c r="E186" s="36"/>
      <c r="F186" s="36"/>
      <c r="G186" s="28"/>
      <c r="H186" s="28"/>
      <c r="I186" s="31"/>
      <c r="J186" s="32"/>
      <c r="K186" s="32" t="b">
        <f t="shared" si="4"/>
        <v>0</v>
      </c>
      <c r="L186" s="61">
        <f t="shared" si="5"/>
        <v>0</v>
      </c>
      <c r="M186" s="33"/>
      <c r="N186" s="34"/>
    </row>
    <row r="187" spans="1:14" ht="34.5" customHeight="1" x14ac:dyDescent="0.25">
      <c r="A187" s="26"/>
      <c r="B187" s="35"/>
      <c r="C187" s="27"/>
      <c r="D187" s="28"/>
      <c r="E187" s="36"/>
      <c r="F187" s="36"/>
      <c r="G187" s="30"/>
      <c r="H187" s="30"/>
      <c r="I187" s="31"/>
      <c r="J187" s="32"/>
      <c r="K187" s="32" t="b">
        <f t="shared" si="4"/>
        <v>0</v>
      </c>
      <c r="L187" s="61">
        <f t="shared" si="5"/>
        <v>0</v>
      </c>
      <c r="M187" s="33"/>
      <c r="N187" s="34"/>
    </row>
    <row r="188" spans="1:14" ht="34.5" customHeight="1" x14ac:dyDescent="0.25">
      <c r="A188" s="26"/>
      <c r="B188" s="54"/>
      <c r="C188" s="27"/>
      <c r="D188" s="55"/>
      <c r="E188" s="56"/>
      <c r="F188" s="56"/>
      <c r="G188" s="42"/>
      <c r="H188" s="42"/>
      <c r="I188" s="57"/>
      <c r="J188" s="58"/>
      <c r="K188" s="32" t="b">
        <f t="shared" si="4"/>
        <v>0</v>
      </c>
      <c r="L188" s="61">
        <f t="shared" si="5"/>
        <v>0</v>
      </c>
      <c r="M188" s="33"/>
      <c r="N188" s="34"/>
    </row>
    <row r="189" spans="1:14" ht="34.5" customHeight="1" x14ac:dyDescent="0.25">
      <c r="A189" s="26"/>
      <c r="B189" s="35"/>
      <c r="C189" s="27"/>
      <c r="D189" s="28"/>
      <c r="E189" s="36"/>
      <c r="F189" s="36"/>
      <c r="G189" s="30"/>
      <c r="H189" s="30"/>
      <c r="I189" s="31"/>
      <c r="J189" s="32"/>
      <c r="K189" s="32" t="b">
        <f t="shared" si="4"/>
        <v>0</v>
      </c>
      <c r="L189" s="61">
        <f t="shared" si="5"/>
        <v>0</v>
      </c>
      <c r="M189" s="33"/>
      <c r="N189" s="34"/>
    </row>
    <row r="190" spans="1:14" ht="34.5" customHeight="1" x14ac:dyDescent="0.25">
      <c r="A190" s="26"/>
      <c r="B190" s="35"/>
      <c r="C190" s="27"/>
      <c r="D190" s="28"/>
      <c r="E190" s="36"/>
      <c r="F190" s="36"/>
      <c r="G190" s="30"/>
      <c r="H190" s="30"/>
      <c r="I190" s="31"/>
      <c r="J190" s="32"/>
      <c r="K190" s="32" t="b">
        <f t="shared" si="4"/>
        <v>0</v>
      </c>
      <c r="L190" s="61">
        <f t="shared" si="5"/>
        <v>0</v>
      </c>
      <c r="M190" s="33"/>
      <c r="N190" s="34"/>
    </row>
    <row r="191" spans="1:14" ht="34.5" customHeight="1" x14ac:dyDescent="0.25">
      <c r="A191" s="26"/>
      <c r="B191" s="35"/>
      <c r="C191" s="27"/>
      <c r="D191" s="28"/>
      <c r="E191" s="36"/>
      <c r="F191" s="36"/>
      <c r="G191" s="30"/>
      <c r="H191" s="30"/>
      <c r="I191" s="31"/>
      <c r="J191" s="32"/>
      <c r="K191" s="32" t="b">
        <f t="shared" si="4"/>
        <v>0</v>
      </c>
      <c r="L191" s="61">
        <f t="shared" si="5"/>
        <v>0</v>
      </c>
      <c r="M191" s="33"/>
      <c r="N191" s="34"/>
    </row>
    <row r="192" spans="1:14" ht="34.5" customHeight="1" x14ac:dyDescent="0.25">
      <c r="A192" s="26"/>
      <c r="B192" s="35"/>
      <c r="C192" s="27"/>
      <c r="D192" s="28"/>
      <c r="E192" s="36"/>
      <c r="F192" s="36"/>
      <c r="G192" s="30"/>
      <c r="H192" s="30"/>
      <c r="I192" s="31"/>
      <c r="J192" s="32"/>
      <c r="K192" s="32" t="b">
        <f t="shared" si="4"/>
        <v>0</v>
      </c>
      <c r="L192" s="61">
        <f t="shared" si="5"/>
        <v>0</v>
      </c>
      <c r="M192" s="33"/>
      <c r="N192" s="34"/>
    </row>
    <row r="193" spans="1:14" ht="34.5" customHeight="1" x14ac:dyDescent="0.25">
      <c r="A193" s="26"/>
      <c r="B193" s="35"/>
      <c r="C193" s="27"/>
      <c r="D193" s="28"/>
      <c r="E193" s="36"/>
      <c r="F193" s="36"/>
      <c r="G193" s="30"/>
      <c r="H193" s="30"/>
      <c r="I193" s="31"/>
      <c r="J193" s="32"/>
      <c r="K193" s="32" t="b">
        <f t="shared" si="4"/>
        <v>0</v>
      </c>
      <c r="L193" s="61">
        <f t="shared" si="5"/>
        <v>0</v>
      </c>
      <c r="M193" s="33"/>
      <c r="N193" s="34"/>
    </row>
    <row r="194" spans="1:14" ht="34.5" customHeight="1" x14ac:dyDescent="0.25">
      <c r="A194" s="26"/>
      <c r="B194" s="35"/>
      <c r="C194" s="27"/>
      <c r="D194" s="28"/>
      <c r="E194" s="36"/>
      <c r="F194" s="36"/>
      <c r="G194" s="30"/>
      <c r="H194" s="30"/>
      <c r="I194" s="31"/>
      <c r="J194" s="32"/>
      <c r="K194" s="32" t="b">
        <f t="shared" si="4"/>
        <v>0</v>
      </c>
      <c r="L194" s="61">
        <f t="shared" si="5"/>
        <v>0</v>
      </c>
      <c r="M194" s="33"/>
      <c r="N194" s="34"/>
    </row>
    <row r="195" spans="1:14" ht="34.5" customHeight="1" x14ac:dyDescent="0.25">
      <c r="A195" s="26"/>
      <c r="B195" s="35"/>
      <c r="C195" s="27"/>
      <c r="D195" s="28"/>
      <c r="E195" s="36"/>
      <c r="F195" s="36"/>
      <c r="G195" s="30"/>
      <c r="H195" s="30"/>
      <c r="I195" s="31"/>
      <c r="J195" s="32"/>
      <c r="K195" s="32" t="b">
        <f t="shared" si="4"/>
        <v>0</v>
      </c>
      <c r="L195" s="61">
        <f t="shared" si="5"/>
        <v>0</v>
      </c>
      <c r="M195" s="33"/>
      <c r="N195" s="34"/>
    </row>
    <row r="196" spans="1:14" ht="34.5" customHeight="1" x14ac:dyDescent="0.25">
      <c r="A196" s="26"/>
      <c r="B196" s="35"/>
      <c r="C196" s="27"/>
      <c r="D196" s="28"/>
      <c r="E196" s="36"/>
      <c r="F196" s="36"/>
      <c r="G196" s="30"/>
      <c r="H196" s="30"/>
      <c r="I196" s="31"/>
      <c r="J196" s="32"/>
      <c r="K196" s="32" t="b">
        <f t="shared" si="4"/>
        <v>0</v>
      </c>
      <c r="L196" s="61">
        <f t="shared" si="5"/>
        <v>0</v>
      </c>
      <c r="M196" s="33"/>
      <c r="N196" s="34"/>
    </row>
    <row r="197" spans="1:14" ht="34.5" customHeight="1" x14ac:dyDescent="0.25">
      <c r="A197" s="26"/>
      <c r="B197" s="35"/>
      <c r="C197" s="27"/>
      <c r="D197" s="28"/>
      <c r="E197" s="36"/>
      <c r="F197" s="36"/>
      <c r="G197" s="30"/>
      <c r="H197" s="30"/>
      <c r="I197" s="31"/>
      <c r="J197" s="32"/>
      <c r="K197" s="32" t="b">
        <f t="shared" ref="K197:K260" si="6">IF(J197="b","0,6",IF(J197="r","0,2",IF(J197="o",0.8)))</f>
        <v>0</v>
      </c>
      <c r="L197" s="61">
        <f t="shared" ref="L197:L260" si="7">K197*I197</f>
        <v>0</v>
      </c>
      <c r="M197" s="33"/>
      <c r="N197" s="34"/>
    </row>
    <row r="198" spans="1:14" ht="34.5" customHeight="1" x14ac:dyDescent="0.25">
      <c r="A198" s="26"/>
      <c r="B198" s="35"/>
      <c r="C198" s="27"/>
      <c r="D198" s="28"/>
      <c r="E198" s="36"/>
      <c r="F198" s="36"/>
      <c r="G198" s="30"/>
      <c r="H198" s="30"/>
      <c r="I198" s="31"/>
      <c r="J198" s="32"/>
      <c r="K198" s="32" t="b">
        <f t="shared" si="6"/>
        <v>0</v>
      </c>
      <c r="L198" s="61">
        <f t="shared" si="7"/>
        <v>0</v>
      </c>
      <c r="M198" s="33"/>
      <c r="N198" s="34"/>
    </row>
    <row r="199" spans="1:14" ht="34.5" customHeight="1" x14ac:dyDescent="0.25">
      <c r="A199" s="26"/>
      <c r="B199" s="35"/>
      <c r="C199" s="27"/>
      <c r="D199" s="28"/>
      <c r="E199" s="29"/>
      <c r="F199" s="36"/>
      <c r="G199" s="30"/>
      <c r="H199" s="30"/>
      <c r="I199" s="31"/>
      <c r="J199" s="32"/>
      <c r="K199" s="32" t="b">
        <f t="shared" si="6"/>
        <v>0</v>
      </c>
      <c r="L199" s="61">
        <f t="shared" si="7"/>
        <v>0</v>
      </c>
      <c r="M199" s="33"/>
      <c r="N199" s="34"/>
    </row>
    <row r="200" spans="1:14" ht="34.5" customHeight="1" x14ac:dyDescent="0.25">
      <c r="A200" s="26"/>
      <c r="B200" s="35"/>
      <c r="C200" s="27"/>
      <c r="D200" s="28"/>
      <c r="E200" s="36"/>
      <c r="F200" s="36"/>
      <c r="G200" s="30"/>
      <c r="H200" s="30"/>
      <c r="I200" s="31"/>
      <c r="J200" s="32"/>
      <c r="K200" s="32" t="b">
        <f t="shared" si="6"/>
        <v>0</v>
      </c>
      <c r="L200" s="61">
        <f t="shared" si="7"/>
        <v>0</v>
      </c>
      <c r="M200" s="33"/>
      <c r="N200" s="34"/>
    </row>
    <row r="201" spans="1:14" ht="34.5" customHeight="1" x14ac:dyDescent="0.25">
      <c r="A201" s="26"/>
      <c r="B201" s="35"/>
      <c r="C201" s="27"/>
      <c r="D201" s="28"/>
      <c r="E201" s="36"/>
      <c r="F201" s="36"/>
      <c r="G201" s="30"/>
      <c r="H201" s="30"/>
      <c r="I201" s="31"/>
      <c r="J201" s="32"/>
      <c r="K201" s="32" t="b">
        <f t="shared" si="6"/>
        <v>0</v>
      </c>
      <c r="L201" s="61">
        <f t="shared" si="7"/>
        <v>0</v>
      </c>
      <c r="M201" s="33"/>
      <c r="N201" s="34"/>
    </row>
    <row r="202" spans="1:14" ht="34.5" customHeight="1" x14ac:dyDescent="0.25">
      <c r="A202" s="26"/>
      <c r="B202" s="35"/>
      <c r="C202" s="27"/>
      <c r="D202" s="28"/>
      <c r="E202" s="36"/>
      <c r="F202" s="36"/>
      <c r="G202" s="30"/>
      <c r="H202" s="30"/>
      <c r="I202" s="31"/>
      <c r="J202" s="32"/>
      <c r="K202" s="32" t="b">
        <f t="shared" si="6"/>
        <v>0</v>
      </c>
      <c r="L202" s="61">
        <f t="shared" si="7"/>
        <v>0</v>
      </c>
      <c r="M202" s="33"/>
      <c r="N202" s="34"/>
    </row>
    <row r="203" spans="1:14" ht="34.5" customHeight="1" x14ac:dyDescent="0.25">
      <c r="A203" s="26"/>
      <c r="B203" s="35"/>
      <c r="C203" s="27"/>
      <c r="D203" s="28"/>
      <c r="E203" s="36"/>
      <c r="F203" s="36"/>
      <c r="G203" s="30"/>
      <c r="H203" s="30"/>
      <c r="I203" s="31"/>
      <c r="J203" s="32"/>
      <c r="K203" s="32" t="b">
        <f t="shared" si="6"/>
        <v>0</v>
      </c>
      <c r="L203" s="61">
        <f t="shared" si="7"/>
        <v>0</v>
      </c>
      <c r="M203" s="33"/>
      <c r="N203" s="34"/>
    </row>
    <row r="204" spans="1:14" ht="34.5" customHeight="1" x14ac:dyDescent="0.25">
      <c r="A204" s="26"/>
      <c r="B204" s="35"/>
      <c r="C204" s="27"/>
      <c r="D204" s="28"/>
      <c r="E204" s="36"/>
      <c r="F204" s="36"/>
      <c r="G204" s="30"/>
      <c r="H204" s="30"/>
      <c r="I204" s="31"/>
      <c r="J204" s="32"/>
      <c r="K204" s="32" t="b">
        <f t="shared" si="6"/>
        <v>0</v>
      </c>
      <c r="L204" s="61">
        <f t="shared" si="7"/>
        <v>0</v>
      </c>
      <c r="M204" s="33"/>
      <c r="N204" s="34"/>
    </row>
    <row r="205" spans="1:14" ht="34.5" customHeight="1" x14ac:dyDescent="0.25">
      <c r="A205" s="26"/>
      <c r="B205" s="35"/>
      <c r="C205" s="27"/>
      <c r="D205" s="28"/>
      <c r="E205" s="36"/>
      <c r="F205" s="36"/>
      <c r="G205" s="30"/>
      <c r="H205" s="30"/>
      <c r="I205" s="31"/>
      <c r="J205" s="32"/>
      <c r="K205" s="32" t="b">
        <f t="shared" si="6"/>
        <v>0</v>
      </c>
      <c r="L205" s="61">
        <f t="shared" si="7"/>
        <v>0</v>
      </c>
      <c r="M205" s="33"/>
      <c r="N205" s="34"/>
    </row>
    <row r="206" spans="1:14" ht="34.5" customHeight="1" x14ac:dyDescent="0.25">
      <c r="A206" s="26"/>
      <c r="B206" s="35"/>
      <c r="C206" s="27"/>
      <c r="D206" s="28"/>
      <c r="E206" s="36"/>
      <c r="F206" s="36"/>
      <c r="G206" s="30"/>
      <c r="H206" s="30"/>
      <c r="I206" s="31"/>
      <c r="J206" s="32"/>
      <c r="K206" s="32" t="b">
        <f t="shared" si="6"/>
        <v>0</v>
      </c>
      <c r="L206" s="61">
        <f t="shared" si="7"/>
        <v>0</v>
      </c>
      <c r="M206" s="33"/>
      <c r="N206" s="34"/>
    </row>
    <row r="207" spans="1:14" ht="34.5" customHeight="1" x14ac:dyDescent="0.25">
      <c r="A207" s="26"/>
      <c r="B207" s="35"/>
      <c r="C207" s="27"/>
      <c r="D207" s="28"/>
      <c r="E207" s="36"/>
      <c r="F207" s="36"/>
      <c r="G207" s="30"/>
      <c r="H207" s="30"/>
      <c r="I207" s="31"/>
      <c r="J207" s="32"/>
      <c r="K207" s="32" t="b">
        <f t="shared" si="6"/>
        <v>0</v>
      </c>
      <c r="L207" s="61">
        <f t="shared" si="7"/>
        <v>0</v>
      </c>
      <c r="M207" s="33"/>
      <c r="N207" s="34"/>
    </row>
    <row r="208" spans="1:14" ht="34.5" customHeight="1" x14ac:dyDescent="0.25">
      <c r="A208" s="26"/>
      <c r="B208" s="35"/>
      <c r="C208" s="27"/>
      <c r="D208" s="28"/>
      <c r="E208" s="36"/>
      <c r="F208" s="36"/>
      <c r="G208" s="30"/>
      <c r="H208" s="30"/>
      <c r="I208" s="31"/>
      <c r="J208" s="32"/>
      <c r="K208" s="32" t="b">
        <f t="shared" si="6"/>
        <v>0</v>
      </c>
      <c r="L208" s="61">
        <f t="shared" si="7"/>
        <v>0</v>
      </c>
      <c r="M208" s="33"/>
      <c r="N208" s="34"/>
    </row>
    <row r="209" spans="1:14" ht="34.5" customHeight="1" x14ac:dyDescent="0.25">
      <c r="A209" s="26"/>
      <c r="B209" s="35"/>
      <c r="C209" s="27"/>
      <c r="D209" s="28"/>
      <c r="E209" s="36"/>
      <c r="F209" s="36"/>
      <c r="G209" s="30"/>
      <c r="H209" s="30"/>
      <c r="I209" s="31"/>
      <c r="J209" s="32"/>
      <c r="K209" s="32" t="b">
        <f t="shared" si="6"/>
        <v>0</v>
      </c>
      <c r="L209" s="61">
        <f t="shared" si="7"/>
        <v>0</v>
      </c>
      <c r="M209" s="33"/>
      <c r="N209" s="34"/>
    </row>
    <row r="210" spans="1:14" ht="34.5" customHeight="1" x14ac:dyDescent="0.25">
      <c r="A210" s="26"/>
      <c r="B210" s="35"/>
      <c r="C210" s="27"/>
      <c r="D210" s="28"/>
      <c r="E210" s="36"/>
      <c r="F210" s="36"/>
      <c r="G210" s="30"/>
      <c r="H210" s="30"/>
      <c r="I210" s="31"/>
      <c r="J210" s="32"/>
      <c r="K210" s="32" t="b">
        <f t="shared" si="6"/>
        <v>0</v>
      </c>
      <c r="L210" s="61">
        <f t="shared" si="7"/>
        <v>0</v>
      </c>
      <c r="M210" s="33"/>
      <c r="N210" s="34"/>
    </row>
    <row r="211" spans="1:14" ht="34.5" customHeight="1" x14ac:dyDescent="0.25">
      <c r="A211" s="26"/>
      <c r="B211" s="35"/>
      <c r="C211" s="27"/>
      <c r="D211" s="28"/>
      <c r="E211" s="36"/>
      <c r="F211" s="36"/>
      <c r="G211" s="30"/>
      <c r="H211" s="30"/>
      <c r="I211" s="31"/>
      <c r="J211" s="32"/>
      <c r="K211" s="32" t="b">
        <f t="shared" si="6"/>
        <v>0</v>
      </c>
      <c r="L211" s="61">
        <f t="shared" si="7"/>
        <v>0</v>
      </c>
      <c r="M211" s="33"/>
      <c r="N211" s="34"/>
    </row>
    <row r="212" spans="1:14" ht="34.5" customHeight="1" x14ac:dyDescent="0.25">
      <c r="A212" s="26"/>
      <c r="B212" s="35"/>
      <c r="C212" s="27"/>
      <c r="D212" s="28"/>
      <c r="E212" s="36"/>
      <c r="F212" s="36"/>
      <c r="G212" s="30"/>
      <c r="H212" s="30"/>
      <c r="I212" s="31"/>
      <c r="J212" s="32"/>
      <c r="K212" s="32" t="b">
        <f t="shared" si="6"/>
        <v>0</v>
      </c>
      <c r="L212" s="61">
        <f t="shared" si="7"/>
        <v>0</v>
      </c>
      <c r="M212" s="33"/>
      <c r="N212" s="34"/>
    </row>
    <row r="213" spans="1:14" ht="34.5" customHeight="1" x14ac:dyDescent="0.25">
      <c r="A213" s="26"/>
      <c r="B213" s="35"/>
      <c r="C213" s="27"/>
      <c r="D213" s="28"/>
      <c r="E213" s="36"/>
      <c r="F213" s="36"/>
      <c r="G213" s="30"/>
      <c r="H213" s="30"/>
      <c r="I213" s="31"/>
      <c r="J213" s="32"/>
      <c r="K213" s="32" t="b">
        <f t="shared" si="6"/>
        <v>0</v>
      </c>
      <c r="L213" s="61">
        <f t="shared" si="7"/>
        <v>0</v>
      </c>
      <c r="M213" s="33"/>
      <c r="N213" s="34"/>
    </row>
    <row r="214" spans="1:14" ht="34.5" customHeight="1" x14ac:dyDescent="0.25">
      <c r="A214" s="26"/>
      <c r="B214" s="35"/>
      <c r="C214" s="27"/>
      <c r="D214" s="28"/>
      <c r="E214" s="36"/>
      <c r="F214" s="36"/>
      <c r="G214" s="30"/>
      <c r="H214" s="30"/>
      <c r="I214" s="31"/>
      <c r="J214" s="32"/>
      <c r="K214" s="32" t="b">
        <f t="shared" si="6"/>
        <v>0</v>
      </c>
      <c r="L214" s="61">
        <f t="shared" si="7"/>
        <v>0</v>
      </c>
      <c r="M214" s="33"/>
      <c r="N214" s="34"/>
    </row>
    <row r="215" spans="1:14" ht="34.5" customHeight="1" x14ac:dyDescent="0.25">
      <c r="A215" s="26"/>
      <c r="B215" s="35"/>
      <c r="C215" s="27"/>
      <c r="D215" s="28"/>
      <c r="E215" s="36"/>
      <c r="F215" s="36"/>
      <c r="G215" s="30"/>
      <c r="H215" s="30"/>
      <c r="I215" s="31"/>
      <c r="J215" s="32"/>
      <c r="K215" s="32" t="b">
        <f t="shared" si="6"/>
        <v>0</v>
      </c>
      <c r="L215" s="61">
        <f t="shared" si="7"/>
        <v>0</v>
      </c>
      <c r="M215" s="33"/>
      <c r="N215" s="34"/>
    </row>
    <row r="216" spans="1:14" ht="34.5" customHeight="1" x14ac:dyDescent="0.25">
      <c r="A216" s="26"/>
      <c r="B216" s="35"/>
      <c r="C216" s="27"/>
      <c r="D216" s="28"/>
      <c r="E216" s="36"/>
      <c r="F216" s="36"/>
      <c r="G216" s="30"/>
      <c r="H216" s="30"/>
      <c r="I216" s="31"/>
      <c r="J216" s="32"/>
      <c r="K216" s="32" t="b">
        <f t="shared" si="6"/>
        <v>0</v>
      </c>
      <c r="L216" s="61">
        <f t="shared" si="7"/>
        <v>0</v>
      </c>
      <c r="M216" s="33"/>
      <c r="N216" s="34"/>
    </row>
    <row r="217" spans="1:14" ht="34.5" customHeight="1" x14ac:dyDescent="0.25">
      <c r="A217" s="26"/>
      <c r="B217" s="35"/>
      <c r="C217" s="27"/>
      <c r="D217" s="28"/>
      <c r="E217" s="36"/>
      <c r="F217" s="36"/>
      <c r="G217" s="30"/>
      <c r="H217" s="30"/>
      <c r="I217" s="31"/>
      <c r="J217" s="32"/>
      <c r="K217" s="32" t="b">
        <f t="shared" si="6"/>
        <v>0</v>
      </c>
      <c r="L217" s="61">
        <f t="shared" si="7"/>
        <v>0</v>
      </c>
      <c r="M217" s="33"/>
      <c r="N217" s="34"/>
    </row>
    <row r="218" spans="1:14" ht="34.5" customHeight="1" x14ac:dyDescent="0.25">
      <c r="A218" s="26"/>
      <c r="B218" s="35"/>
      <c r="C218" s="27"/>
      <c r="D218" s="28"/>
      <c r="E218" s="36"/>
      <c r="F218" s="36"/>
      <c r="G218" s="30"/>
      <c r="H218" s="30"/>
      <c r="I218" s="31"/>
      <c r="J218" s="32"/>
      <c r="K218" s="32" t="b">
        <f t="shared" si="6"/>
        <v>0</v>
      </c>
      <c r="L218" s="61">
        <f t="shared" si="7"/>
        <v>0</v>
      </c>
      <c r="M218" s="33"/>
      <c r="N218" s="34"/>
    </row>
    <row r="219" spans="1:14" ht="34.5" customHeight="1" x14ac:dyDescent="0.25">
      <c r="A219" s="26"/>
      <c r="B219" s="35"/>
      <c r="C219" s="27"/>
      <c r="D219" s="28"/>
      <c r="E219" s="36"/>
      <c r="F219" s="36"/>
      <c r="G219" s="30"/>
      <c r="H219" s="30"/>
      <c r="I219" s="31"/>
      <c r="J219" s="32"/>
      <c r="K219" s="32" t="b">
        <f t="shared" si="6"/>
        <v>0</v>
      </c>
      <c r="L219" s="61">
        <f t="shared" si="7"/>
        <v>0</v>
      </c>
      <c r="M219" s="33"/>
      <c r="N219" s="34"/>
    </row>
    <row r="220" spans="1:14" ht="34.5" customHeight="1" x14ac:dyDescent="0.25">
      <c r="A220" s="26"/>
      <c r="B220" s="35"/>
      <c r="C220" s="27"/>
      <c r="D220" s="28"/>
      <c r="E220" s="36"/>
      <c r="F220" s="36"/>
      <c r="G220" s="30"/>
      <c r="H220" s="30"/>
      <c r="I220" s="31"/>
      <c r="J220" s="32"/>
      <c r="K220" s="32" t="b">
        <f t="shared" si="6"/>
        <v>0</v>
      </c>
      <c r="L220" s="61">
        <f t="shared" si="7"/>
        <v>0</v>
      </c>
      <c r="M220" s="33"/>
      <c r="N220" s="34"/>
    </row>
    <row r="221" spans="1:14" ht="34.5" customHeight="1" x14ac:dyDescent="0.25">
      <c r="A221" s="26"/>
      <c r="B221" s="35"/>
      <c r="C221" s="27"/>
      <c r="D221" s="28"/>
      <c r="E221" s="36"/>
      <c r="F221" s="36"/>
      <c r="G221" s="30"/>
      <c r="H221" s="30"/>
      <c r="I221" s="31"/>
      <c r="J221" s="32"/>
      <c r="K221" s="32" t="b">
        <f t="shared" si="6"/>
        <v>0</v>
      </c>
      <c r="L221" s="61">
        <f t="shared" si="7"/>
        <v>0</v>
      </c>
      <c r="M221" s="33"/>
      <c r="N221" s="34"/>
    </row>
    <row r="222" spans="1:14" ht="34.5" customHeight="1" x14ac:dyDescent="0.25">
      <c r="A222" s="26"/>
      <c r="B222" s="35"/>
      <c r="C222" s="27"/>
      <c r="D222" s="28"/>
      <c r="E222" s="36"/>
      <c r="F222" s="36"/>
      <c r="G222" s="30"/>
      <c r="H222" s="30"/>
      <c r="I222" s="31"/>
      <c r="J222" s="32"/>
      <c r="K222" s="32" t="b">
        <f t="shared" si="6"/>
        <v>0</v>
      </c>
      <c r="L222" s="61">
        <f t="shared" si="7"/>
        <v>0</v>
      </c>
      <c r="M222" s="33"/>
      <c r="N222" s="34"/>
    </row>
    <row r="223" spans="1:14" ht="34.5" customHeight="1" x14ac:dyDescent="0.25">
      <c r="A223" s="26"/>
      <c r="B223" s="35"/>
      <c r="C223" s="27"/>
      <c r="D223" s="28"/>
      <c r="E223" s="36"/>
      <c r="F223" s="36"/>
      <c r="G223" s="30"/>
      <c r="H223" s="30"/>
      <c r="I223" s="31"/>
      <c r="J223" s="32"/>
      <c r="K223" s="32" t="b">
        <f t="shared" si="6"/>
        <v>0</v>
      </c>
      <c r="L223" s="61">
        <f t="shared" si="7"/>
        <v>0</v>
      </c>
      <c r="M223" s="33"/>
      <c r="N223" s="34"/>
    </row>
    <row r="224" spans="1:14" ht="34.5" customHeight="1" x14ac:dyDescent="0.25">
      <c r="A224" s="26"/>
      <c r="B224" s="35"/>
      <c r="C224" s="27"/>
      <c r="D224" s="28"/>
      <c r="E224" s="36"/>
      <c r="F224" s="36"/>
      <c r="G224" s="30"/>
      <c r="H224" s="30"/>
      <c r="I224" s="31"/>
      <c r="J224" s="32"/>
      <c r="K224" s="32" t="b">
        <f t="shared" si="6"/>
        <v>0</v>
      </c>
      <c r="L224" s="61">
        <f t="shared" si="7"/>
        <v>0</v>
      </c>
      <c r="M224" s="33"/>
      <c r="N224" s="34"/>
    </row>
    <row r="225" spans="1:14" ht="34.5" customHeight="1" x14ac:dyDescent="0.25">
      <c r="A225" s="26"/>
      <c r="B225" s="35"/>
      <c r="C225" s="27"/>
      <c r="D225" s="28"/>
      <c r="E225" s="36"/>
      <c r="F225" s="36"/>
      <c r="G225" s="30"/>
      <c r="H225" s="30"/>
      <c r="I225" s="31"/>
      <c r="J225" s="32"/>
      <c r="K225" s="32" t="b">
        <f t="shared" si="6"/>
        <v>0</v>
      </c>
      <c r="L225" s="61">
        <f t="shared" si="7"/>
        <v>0</v>
      </c>
      <c r="M225" s="33"/>
      <c r="N225" s="34"/>
    </row>
    <row r="226" spans="1:14" ht="34.5" customHeight="1" x14ac:dyDescent="0.25">
      <c r="A226" s="26"/>
      <c r="B226" s="35"/>
      <c r="C226" s="27"/>
      <c r="D226" s="28"/>
      <c r="E226" s="36"/>
      <c r="F226" s="36"/>
      <c r="G226" s="30"/>
      <c r="H226" s="30"/>
      <c r="I226" s="31"/>
      <c r="J226" s="32"/>
      <c r="K226" s="32" t="b">
        <f t="shared" si="6"/>
        <v>0</v>
      </c>
      <c r="L226" s="61">
        <f t="shared" si="7"/>
        <v>0</v>
      </c>
      <c r="M226" s="33"/>
      <c r="N226" s="34"/>
    </row>
    <row r="227" spans="1:14" ht="34.5" customHeight="1" x14ac:dyDescent="0.25">
      <c r="A227" s="26"/>
      <c r="B227" s="35"/>
      <c r="C227" s="27"/>
      <c r="D227" s="28"/>
      <c r="E227" s="36"/>
      <c r="F227" s="36"/>
      <c r="G227" s="30"/>
      <c r="H227" s="30"/>
      <c r="I227" s="31"/>
      <c r="J227" s="32"/>
      <c r="K227" s="32" t="b">
        <f t="shared" si="6"/>
        <v>0</v>
      </c>
      <c r="L227" s="61">
        <f t="shared" si="7"/>
        <v>0</v>
      </c>
      <c r="M227" s="33"/>
      <c r="N227" s="34"/>
    </row>
    <row r="228" spans="1:14" ht="34.5" customHeight="1" x14ac:dyDescent="0.25">
      <c r="A228" s="26"/>
      <c r="B228" s="35"/>
      <c r="C228" s="27"/>
      <c r="D228" s="28"/>
      <c r="E228" s="36"/>
      <c r="F228" s="36"/>
      <c r="G228" s="30"/>
      <c r="H228" s="30"/>
      <c r="I228" s="31"/>
      <c r="J228" s="32"/>
      <c r="K228" s="32" t="b">
        <f t="shared" si="6"/>
        <v>0</v>
      </c>
      <c r="L228" s="61">
        <f t="shared" si="7"/>
        <v>0</v>
      </c>
      <c r="M228" s="33"/>
      <c r="N228" s="34"/>
    </row>
    <row r="229" spans="1:14" ht="34.5" customHeight="1" x14ac:dyDescent="0.25">
      <c r="A229" s="26"/>
      <c r="B229" s="35"/>
      <c r="C229" s="27"/>
      <c r="D229" s="28"/>
      <c r="E229" s="36"/>
      <c r="F229" s="36"/>
      <c r="G229" s="30"/>
      <c r="H229" s="30"/>
      <c r="I229" s="31"/>
      <c r="J229" s="32"/>
      <c r="K229" s="32" t="b">
        <f t="shared" si="6"/>
        <v>0</v>
      </c>
      <c r="L229" s="61">
        <f t="shared" si="7"/>
        <v>0</v>
      </c>
      <c r="M229" s="33"/>
      <c r="N229" s="34"/>
    </row>
    <row r="230" spans="1:14" ht="34.5" customHeight="1" x14ac:dyDescent="0.25">
      <c r="A230" s="26"/>
      <c r="B230" s="35"/>
      <c r="C230" s="27"/>
      <c r="D230" s="28"/>
      <c r="E230" s="36"/>
      <c r="F230" s="36"/>
      <c r="G230" s="30"/>
      <c r="H230" s="30"/>
      <c r="I230" s="31"/>
      <c r="J230" s="32"/>
      <c r="K230" s="32" t="b">
        <f t="shared" si="6"/>
        <v>0</v>
      </c>
      <c r="L230" s="61">
        <f t="shared" si="7"/>
        <v>0</v>
      </c>
      <c r="M230" s="33"/>
      <c r="N230" s="34"/>
    </row>
    <row r="231" spans="1:14" ht="34.5" customHeight="1" x14ac:dyDescent="0.25">
      <c r="A231" s="26"/>
      <c r="B231" s="35"/>
      <c r="C231" s="27"/>
      <c r="D231" s="28"/>
      <c r="E231" s="36"/>
      <c r="F231" s="36"/>
      <c r="G231" s="28"/>
      <c r="H231" s="28"/>
      <c r="I231" s="31"/>
      <c r="J231" s="32"/>
      <c r="K231" s="32" t="b">
        <f t="shared" si="6"/>
        <v>0</v>
      </c>
      <c r="L231" s="61">
        <f t="shared" si="7"/>
        <v>0</v>
      </c>
      <c r="M231" s="33"/>
      <c r="N231" s="34"/>
    </row>
    <row r="232" spans="1:14" ht="34.5" customHeight="1" x14ac:dyDescent="0.25">
      <c r="A232" s="26"/>
      <c r="B232" s="35"/>
      <c r="C232" s="27"/>
      <c r="D232" s="28"/>
      <c r="E232" s="36"/>
      <c r="F232" s="36"/>
      <c r="G232" s="30"/>
      <c r="H232" s="30"/>
      <c r="I232" s="31"/>
      <c r="J232" s="32"/>
      <c r="K232" s="32" t="b">
        <f t="shared" si="6"/>
        <v>0</v>
      </c>
      <c r="L232" s="61">
        <f t="shared" si="7"/>
        <v>0</v>
      </c>
      <c r="M232" s="33"/>
      <c r="N232" s="34"/>
    </row>
    <row r="233" spans="1:14" ht="34.5" customHeight="1" x14ac:dyDescent="0.25">
      <c r="A233" s="49"/>
      <c r="B233" s="35"/>
      <c r="C233" s="70"/>
      <c r="D233" s="28"/>
      <c r="E233" s="36"/>
      <c r="F233" s="36"/>
      <c r="G233" s="28"/>
      <c r="H233" s="28"/>
      <c r="I233" s="31"/>
      <c r="J233" s="32"/>
      <c r="K233" s="32" t="b">
        <f t="shared" si="6"/>
        <v>0</v>
      </c>
      <c r="L233" s="61">
        <f t="shared" si="7"/>
        <v>0</v>
      </c>
      <c r="M233" s="69"/>
      <c r="N233" s="34"/>
    </row>
    <row r="234" spans="1:14" ht="34.5" customHeight="1" x14ac:dyDescent="0.25">
      <c r="A234" s="26"/>
      <c r="B234" s="35"/>
      <c r="C234" s="27"/>
      <c r="D234" s="28"/>
      <c r="E234" s="36"/>
      <c r="F234" s="36"/>
      <c r="G234" s="30"/>
      <c r="H234" s="30"/>
      <c r="I234" s="31"/>
      <c r="J234" s="32"/>
      <c r="K234" s="32" t="b">
        <f t="shared" si="6"/>
        <v>0</v>
      </c>
      <c r="L234" s="61">
        <f t="shared" si="7"/>
        <v>0</v>
      </c>
      <c r="M234" s="33"/>
      <c r="N234" s="34"/>
    </row>
    <row r="235" spans="1:14" ht="34.5" customHeight="1" x14ac:dyDescent="0.25">
      <c r="A235" s="26"/>
      <c r="B235" s="35"/>
      <c r="C235" s="27"/>
      <c r="D235" s="28"/>
      <c r="E235" s="36"/>
      <c r="F235" s="36"/>
      <c r="G235" s="30"/>
      <c r="H235" s="30"/>
      <c r="I235" s="31"/>
      <c r="J235" s="32"/>
      <c r="K235" s="32" t="b">
        <f t="shared" si="6"/>
        <v>0</v>
      </c>
      <c r="L235" s="61">
        <f t="shared" si="7"/>
        <v>0</v>
      </c>
      <c r="M235" s="33"/>
      <c r="N235" s="34"/>
    </row>
    <row r="236" spans="1:14" ht="34.5" customHeight="1" x14ac:dyDescent="0.25">
      <c r="A236" s="26"/>
      <c r="B236" s="35"/>
      <c r="C236" s="27"/>
      <c r="D236" s="28"/>
      <c r="E236" s="36"/>
      <c r="F236" s="36"/>
      <c r="G236" s="30"/>
      <c r="H236" s="30"/>
      <c r="I236" s="31"/>
      <c r="J236" s="32"/>
      <c r="K236" s="32" t="b">
        <f t="shared" si="6"/>
        <v>0</v>
      </c>
      <c r="L236" s="61">
        <f t="shared" si="7"/>
        <v>0</v>
      </c>
      <c r="M236" s="33"/>
      <c r="N236" s="34"/>
    </row>
    <row r="237" spans="1:14" ht="34.5" customHeight="1" x14ac:dyDescent="0.25">
      <c r="A237" s="26"/>
      <c r="B237" s="35"/>
      <c r="C237" s="27"/>
      <c r="D237" s="28"/>
      <c r="E237" s="36"/>
      <c r="F237" s="36"/>
      <c r="G237" s="30"/>
      <c r="H237" s="30"/>
      <c r="I237" s="31"/>
      <c r="J237" s="32"/>
      <c r="K237" s="32" t="b">
        <f t="shared" si="6"/>
        <v>0</v>
      </c>
      <c r="L237" s="61">
        <f t="shared" si="7"/>
        <v>0</v>
      </c>
      <c r="M237" s="33"/>
      <c r="N237" s="34"/>
    </row>
    <row r="238" spans="1:14" ht="34.5" customHeight="1" x14ac:dyDescent="0.25">
      <c r="A238" s="26"/>
      <c r="B238" s="35"/>
      <c r="C238" s="27"/>
      <c r="D238" s="28"/>
      <c r="E238" s="36"/>
      <c r="F238" s="36"/>
      <c r="G238" s="30"/>
      <c r="H238" s="30"/>
      <c r="I238" s="31"/>
      <c r="J238" s="32"/>
      <c r="K238" s="32" t="b">
        <f t="shared" si="6"/>
        <v>0</v>
      </c>
      <c r="L238" s="61">
        <f t="shared" si="7"/>
        <v>0</v>
      </c>
      <c r="M238" s="33"/>
      <c r="N238" s="34"/>
    </row>
    <row r="239" spans="1:14" ht="34.5" customHeight="1" x14ac:dyDescent="0.25">
      <c r="A239" s="26"/>
      <c r="B239" s="35"/>
      <c r="C239" s="27"/>
      <c r="D239" s="28"/>
      <c r="E239" s="36"/>
      <c r="F239" s="36"/>
      <c r="G239" s="30"/>
      <c r="H239" s="30"/>
      <c r="I239" s="31"/>
      <c r="J239" s="32"/>
      <c r="K239" s="32" t="b">
        <f t="shared" si="6"/>
        <v>0</v>
      </c>
      <c r="L239" s="61">
        <f t="shared" si="7"/>
        <v>0</v>
      </c>
      <c r="M239" s="33"/>
      <c r="N239" s="34"/>
    </row>
    <row r="240" spans="1:14" ht="34.5" customHeight="1" x14ac:dyDescent="0.25">
      <c r="A240" s="26"/>
      <c r="B240" s="35"/>
      <c r="C240" s="27"/>
      <c r="D240" s="28"/>
      <c r="E240" s="36"/>
      <c r="F240" s="36"/>
      <c r="G240" s="30"/>
      <c r="H240" s="30"/>
      <c r="I240" s="31"/>
      <c r="J240" s="32"/>
      <c r="K240" s="32" t="b">
        <f t="shared" si="6"/>
        <v>0</v>
      </c>
      <c r="L240" s="61">
        <f t="shared" si="7"/>
        <v>0</v>
      </c>
      <c r="M240" s="33"/>
      <c r="N240" s="34"/>
    </row>
    <row r="241" spans="1:14" ht="34.5" customHeight="1" x14ac:dyDescent="0.25">
      <c r="A241" s="26"/>
      <c r="B241" s="52"/>
      <c r="C241" s="27"/>
      <c r="D241" s="28"/>
      <c r="E241" s="36"/>
      <c r="F241" s="36"/>
      <c r="G241" s="30"/>
      <c r="H241" s="30"/>
      <c r="I241" s="31"/>
      <c r="J241" s="32"/>
      <c r="K241" s="32" t="b">
        <f t="shared" si="6"/>
        <v>0</v>
      </c>
      <c r="L241" s="61">
        <f t="shared" si="7"/>
        <v>0</v>
      </c>
      <c r="M241" s="33"/>
      <c r="N241" s="34"/>
    </row>
    <row r="242" spans="1:14" ht="34.5" customHeight="1" x14ac:dyDescent="0.25">
      <c r="A242" s="26"/>
      <c r="B242" s="35"/>
      <c r="C242" s="27"/>
      <c r="D242" s="28"/>
      <c r="E242" s="36"/>
      <c r="F242" s="36"/>
      <c r="G242" s="30"/>
      <c r="H242" s="30"/>
      <c r="I242" s="31"/>
      <c r="J242" s="32"/>
      <c r="K242" s="32" t="b">
        <f t="shared" si="6"/>
        <v>0</v>
      </c>
      <c r="L242" s="61">
        <f t="shared" si="7"/>
        <v>0</v>
      </c>
      <c r="M242" s="33"/>
      <c r="N242" s="34"/>
    </row>
    <row r="243" spans="1:14" ht="34.5" customHeight="1" x14ac:dyDescent="0.25">
      <c r="A243" s="49"/>
      <c r="B243" s="35"/>
      <c r="C243" s="70"/>
      <c r="D243" s="28"/>
      <c r="E243" s="36"/>
      <c r="F243" s="36"/>
      <c r="G243" s="28"/>
      <c r="H243" s="28"/>
      <c r="I243" s="31"/>
      <c r="J243" s="32"/>
      <c r="K243" s="32" t="b">
        <f t="shared" si="6"/>
        <v>0</v>
      </c>
      <c r="L243" s="61">
        <f t="shared" si="7"/>
        <v>0</v>
      </c>
      <c r="M243" s="69"/>
      <c r="N243" s="34"/>
    </row>
    <row r="244" spans="1:14" ht="34.5" customHeight="1" x14ac:dyDescent="0.25">
      <c r="A244" s="26"/>
      <c r="B244" s="35"/>
      <c r="C244" s="27"/>
      <c r="D244" s="28"/>
      <c r="E244" s="36"/>
      <c r="F244" s="36"/>
      <c r="G244" s="59"/>
      <c r="H244" s="59"/>
      <c r="I244" s="31"/>
      <c r="J244" s="32"/>
      <c r="K244" s="32" t="b">
        <f t="shared" si="6"/>
        <v>0</v>
      </c>
      <c r="L244" s="61">
        <f t="shared" si="7"/>
        <v>0</v>
      </c>
      <c r="M244" s="33"/>
      <c r="N244" s="34"/>
    </row>
    <row r="245" spans="1:14" ht="34.5" customHeight="1" x14ac:dyDescent="0.25">
      <c r="A245" s="26"/>
      <c r="B245" s="35"/>
      <c r="C245" s="27"/>
      <c r="D245" s="28"/>
      <c r="E245" s="36"/>
      <c r="F245" s="36"/>
      <c r="G245" s="30"/>
      <c r="H245" s="30"/>
      <c r="I245" s="31"/>
      <c r="J245" s="32"/>
      <c r="K245" s="32" t="b">
        <f t="shared" si="6"/>
        <v>0</v>
      </c>
      <c r="L245" s="61">
        <f t="shared" si="7"/>
        <v>0</v>
      </c>
      <c r="M245" s="33"/>
      <c r="N245" s="34"/>
    </row>
    <row r="246" spans="1:14" ht="34.5" customHeight="1" x14ac:dyDescent="0.25">
      <c r="A246" s="26"/>
      <c r="B246" s="35"/>
      <c r="C246" s="27"/>
      <c r="D246" s="28"/>
      <c r="E246" s="36"/>
      <c r="F246" s="36"/>
      <c r="G246" s="30"/>
      <c r="H246" s="30"/>
      <c r="I246" s="31"/>
      <c r="J246" s="32"/>
      <c r="K246" s="32" t="b">
        <f t="shared" si="6"/>
        <v>0</v>
      </c>
      <c r="L246" s="61">
        <f t="shared" si="7"/>
        <v>0</v>
      </c>
      <c r="M246" s="33"/>
      <c r="N246" s="34"/>
    </row>
    <row r="247" spans="1:14" ht="34.5" customHeight="1" x14ac:dyDescent="0.25">
      <c r="A247" s="26"/>
      <c r="B247" s="35"/>
      <c r="C247" s="27"/>
      <c r="D247" s="28"/>
      <c r="E247" s="36"/>
      <c r="F247" s="36"/>
      <c r="G247" s="30"/>
      <c r="H247" s="30"/>
      <c r="I247" s="31"/>
      <c r="J247" s="32"/>
      <c r="K247" s="32" t="b">
        <f t="shared" si="6"/>
        <v>0</v>
      </c>
      <c r="L247" s="61">
        <f t="shared" si="7"/>
        <v>0</v>
      </c>
      <c r="M247" s="33"/>
      <c r="N247" s="34"/>
    </row>
    <row r="248" spans="1:14" ht="34.5" customHeight="1" x14ac:dyDescent="0.25">
      <c r="A248" s="26"/>
      <c r="B248" s="35"/>
      <c r="C248" s="27"/>
      <c r="D248" s="28"/>
      <c r="E248" s="36"/>
      <c r="F248" s="36"/>
      <c r="G248" s="30"/>
      <c r="H248" s="30"/>
      <c r="I248" s="31"/>
      <c r="J248" s="32"/>
      <c r="K248" s="32" t="b">
        <f t="shared" si="6"/>
        <v>0</v>
      </c>
      <c r="L248" s="61">
        <f t="shared" si="7"/>
        <v>0</v>
      </c>
      <c r="M248" s="33"/>
      <c r="N248" s="34"/>
    </row>
    <row r="249" spans="1:14" ht="34.5" customHeight="1" x14ac:dyDescent="0.25">
      <c r="A249" s="26"/>
      <c r="B249" s="35"/>
      <c r="C249" s="27"/>
      <c r="D249" s="28"/>
      <c r="E249" s="36"/>
      <c r="F249" s="36"/>
      <c r="G249" s="30"/>
      <c r="H249" s="30"/>
      <c r="I249" s="31"/>
      <c r="J249" s="32"/>
      <c r="K249" s="32" t="b">
        <f t="shared" si="6"/>
        <v>0</v>
      </c>
      <c r="L249" s="61">
        <f t="shared" si="7"/>
        <v>0</v>
      </c>
      <c r="M249" s="33"/>
      <c r="N249" s="34"/>
    </row>
    <row r="250" spans="1:14" ht="34.5" customHeight="1" x14ac:dyDescent="0.25">
      <c r="A250" s="26"/>
      <c r="B250" s="35"/>
      <c r="C250" s="27"/>
      <c r="D250" s="28"/>
      <c r="E250" s="36"/>
      <c r="F250" s="36"/>
      <c r="G250" s="30"/>
      <c r="H250" s="30"/>
      <c r="I250" s="31"/>
      <c r="J250" s="32"/>
      <c r="K250" s="32" t="b">
        <f t="shared" si="6"/>
        <v>0</v>
      </c>
      <c r="L250" s="61">
        <f t="shared" si="7"/>
        <v>0</v>
      </c>
      <c r="M250" s="33"/>
      <c r="N250" s="34"/>
    </row>
    <row r="251" spans="1:14" ht="34.5" customHeight="1" x14ac:dyDescent="0.25">
      <c r="A251" s="26"/>
      <c r="B251" s="35"/>
      <c r="C251" s="27"/>
      <c r="D251" s="28"/>
      <c r="E251" s="36"/>
      <c r="F251" s="36"/>
      <c r="G251" s="30"/>
      <c r="H251" s="30"/>
      <c r="I251" s="31"/>
      <c r="J251" s="32"/>
      <c r="K251" s="32" t="b">
        <f t="shared" si="6"/>
        <v>0</v>
      </c>
      <c r="L251" s="61">
        <f t="shared" si="7"/>
        <v>0</v>
      </c>
      <c r="M251" s="33"/>
      <c r="N251" s="34"/>
    </row>
    <row r="252" spans="1:14" ht="34.5" customHeight="1" x14ac:dyDescent="0.25">
      <c r="A252" s="49"/>
      <c r="B252" s="35"/>
      <c r="C252" s="70"/>
      <c r="D252" s="28"/>
      <c r="E252" s="36"/>
      <c r="F252" s="36"/>
      <c r="G252" s="28"/>
      <c r="H252" s="28"/>
      <c r="I252" s="31"/>
      <c r="J252" s="32"/>
      <c r="K252" s="32" t="b">
        <f t="shared" si="6"/>
        <v>0</v>
      </c>
      <c r="L252" s="61">
        <f t="shared" si="7"/>
        <v>0</v>
      </c>
      <c r="M252" s="69"/>
      <c r="N252" s="34"/>
    </row>
    <row r="253" spans="1:14" ht="34.5" customHeight="1" x14ac:dyDescent="0.25">
      <c r="A253" s="26"/>
      <c r="B253" s="35"/>
      <c r="C253" s="27"/>
      <c r="D253" s="28"/>
      <c r="E253" s="36"/>
      <c r="F253" s="36"/>
      <c r="G253" s="30"/>
      <c r="H253" s="30"/>
      <c r="I253" s="31"/>
      <c r="J253" s="32"/>
      <c r="K253" s="32" t="b">
        <f t="shared" si="6"/>
        <v>0</v>
      </c>
      <c r="L253" s="61">
        <f t="shared" si="7"/>
        <v>0</v>
      </c>
      <c r="M253" s="33"/>
      <c r="N253" s="34"/>
    </row>
    <row r="254" spans="1:14" ht="34.5" customHeight="1" x14ac:dyDescent="0.25">
      <c r="A254" s="49"/>
      <c r="B254" s="52"/>
      <c r="C254" s="27"/>
      <c r="D254" s="28"/>
      <c r="E254" s="36"/>
      <c r="F254" s="36"/>
      <c r="G254" s="30"/>
      <c r="H254" s="30"/>
      <c r="I254" s="31"/>
      <c r="J254" s="32"/>
      <c r="K254" s="32" t="b">
        <f t="shared" si="6"/>
        <v>0</v>
      </c>
      <c r="L254" s="61">
        <f t="shared" si="7"/>
        <v>0</v>
      </c>
      <c r="M254" s="33"/>
      <c r="N254" s="34"/>
    </row>
    <row r="255" spans="1:14" ht="34.5" customHeight="1" x14ac:dyDescent="0.25">
      <c r="A255" s="60"/>
      <c r="B255" s="35"/>
      <c r="C255" s="70"/>
      <c r="D255" s="28"/>
      <c r="E255" s="36"/>
      <c r="F255" s="36"/>
      <c r="G255" s="28"/>
      <c r="H255" s="28"/>
      <c r="I255" s="31"/>
      <c r="J255" s="32"/>
      <c r="K255" s="32" t="b">
        <f t="shared" si="6"/>
        <v>0</v>
      </c>
      <c r="L255" s="61">
        <f t="shared" si="7"/>
        <v>0</v>
      </c>
      <c r="M255" s="69"/>
      <c r="N255" s="34"/>
    </row>
    <row r="256" spans="1:14" ht="34.5" customHeight="1" x14ac:dyDescent="0.25">
      <c r="A256" s="26"/>
      <c r="B256" s="35"/>
      <c r="C256" s="27"/>
      <c r="D256" s="28"/>
      <c r="E256" s="36"/>
      <c r="F256" s="36"/>
      <c r="G256" s="30"/>
      <c r="H256" s="30"/>
      <c r="I256" s="31"/>
      <c r="J256" s="32"/>
      <c r="K256" s="32" t="b">
        <f t="shared" si="6"/>
        <v>0</v>
      </c>
      <c r="L256" s="61">
        <f t="shared" si="7"/>
        <v>0</v>
      </c>
      <c r="M256" s="33"/>
      <c r="N256" s="34"/>
    </row>
    <row r="257" spans="1:14" ht="34.5" customHeight="1" x14ac:dyDescent="0.25">
      <c r="A257" s="26"/>
      <c r="B257" s="35"/>
      <c r="C257" s="27"/>
      <c r="D257" s="28"/>
      <c r="E257" s="36"/>
      <c r="F257" s="36"/>
      <c r="G257" s="30"/>
      <c r="H257" s="30"/>
      <c r="I257" s="31"/>
      <c r="J257" s="32"/>
      <c r="K257" s="32" t="b">
        <f t="shared" si="6"/>
        <v>0</v>
      </c>
      <c r="L257" s="61">
        <f t="shared" si="7"/>
        <v>0</v>
      </c>
      <c r="M257" s="33"/>
      <c r="N257" s="34"/>
    </row>
    <row r="258" spans="1:14" ht="34.5" customHeight="1" x14ac:dyDescent="0.25">
      <c r="A258" s="26"/>
      <c r="B258" s="35"/>
      <c r="C258" s="27"/>
      <c r="D258" s="28"/>
      <c r="E258" s="36"/>
      <c r="F258" s="36"/>
      <c r="G258" s="30"/>
      <c r="H258" s="30"/>
      <c r="I258" s="31"/>
      <c r="J258" s="32"/>
      <c r="K258" s="32" t="b">
        <f t="shared" si="6"/>
        <v>0</v>
      </c>
      <c r="L258" s="61">
        <f t="shared" si="7"/>
        <v>0</v>
      </c>
      <c r="M258" s="33"/>
      <c r="N258" s="34"/>
    </row>
    <row r="259" spans="1:14" ht="34.5" customHeight="1" x14ac:dyDescent="0.25">
      <c r="A259" s="26"/>
      <c r="B259" s="35"/>
      <c r="C259" s="27"/>
      <c r="D259" s="28"/>
      <c r="E259" s="36"/>
      <c r="F259" s="36"/>
      <c r="G259" s="30"/>
      <c r="H259" s="30"/>
      <c r="I259" s="31"/>
      <c r="J259" s="32"/>
      <c r="K259" s="32" t="b">
        <f t="shared" si="6"/>
        <v>0</v>
      </c>
      <c r="L259" s="61">
        <f t="shared" si="7"/>
        <v>0</v>
      </c>
      <c r="M259" s="33"/>
      <c r="N259" s="34"/>
    </row>
    <row r="260" spans="1:14" ht="34.5" customHeight="1" x14ac:dyDescent="0.25">
      <c r="A260" s="26"/>
      <c r="B260" s="35"/>
      <c r="C260" s="27"/>
      <c r="D260" s="28"/>
      <c r="E260" s="36"/>
      <c r="F260" s="36"/>
      <c r="G260" s="30"/>
      <c r="H260" s="30"/>
      <c r="I260" s="31"/>
      <c r="J260" s="32"/>
      <c r="K260" s="32" t="b">
        <f t="shared" si="6"/>
        <v>0</v>
      </c>
      <c r="L260" s="61">
        <f t="shared" si="7"/>
        <v>0</v>
      </c>
      <c r="M260" s="33"/>
      <c r="N260" s="34"/>
    </row>
    <row r="261" spans="1:14" ht="34.5" customHeight="1" x14ac:dyDescent="0.25">
      <c r="A261" s="26"/>
      <c r="B261" s="35"/>
      <c r="C261" s="27"/>
      <c r="D261" s="28"/>
      <c r="E261" s="36"/>
      <c r="F261" s="36"/>
      <c r="G261" s="30"/>
      <c r="H261" s="30"/>
      <c r="I261" s="31"/>
      <c r="J261" s="32"/>
      <c r="K261" s="32" t="b">
        <f t="shared" ref="K261:K324" si="8">IF(J261="b","0,6",IF(J261="r","0,2",IF(J261="o",0.8)))</f>
        <v>0</v>
      </c>
      <c r="L261" s="61">
        <f t="shared" ref="L261:L324" si="9">K261*I261</f>
        <v>0</v>
      </c>
      <c r="M261" s="33"/>
      <c r="N261" s="34"/>
    </row>
    <row r="262" spans="1:14" ht="34.5" customHeight="1" x14ac:dyDescent="0.25">
      <c r="A262" s="26"/>
      <c r="B262" s="35"/>
      <c r="C262" s="27"/>
      <c r="D262" s="28"/>
      <c r="E262" s="36"/>
      <c r="F262" s="36"/>
      <c r="G262" s="30"/>
      <c r="H262" s="30"/>
      <c r="I262" s="31"/>
      <c r="J262" s="32"/>
      <c r="K262" s="32" t="b">
        <f t="shared" si="8"/>
        <v>0</v>
      </c>
      <c r="L262" s="61">
        <f t="shared" si="9"/>
        <v>0</v>
      </c>
      <c r="M262" s="33"/>
      <c r="N262" s="34"/>
    </row>
    <row r="263" spans="1:14" ht="34.5" customHeight="1" x14ac:dyDescent="0.25">
      <c r="A263" s="26"/>
      <c r="B263" s="35"/>
      <c r="C263" s="27"/>
      <c r="D263" s="28"/>
      <c r="E263" s="36"/>
      <c r="F263" s="36"/>
      <c r="G263" s="30"/>
      <c r="H263" s="30"/>
      <c r="I263" s="31"/>
      <c r="J263" s="32"/>
      <c r="K263" s="32" t="b">
        <f t="shared" si="8"/>
        <v>0</v>
      </c>
      <c r="L263" s="61">
        <f t="shared" si="9"/>
        <v>0</v>
      </c>
      <c r="M263" s="33"/>
      <c r="N263" s="34"/>
    </row>
    <row r="264" spans="1:14" ht="34.5" customHeight="1" x14ac:dyDescent="0.25">
      <c r="A264" s="26"/>
      <c r="B264" s="35"/>
      <c r="C264" s="27"/>
      <c r="D264" s="28"/>
      <c r="E264" s="33"/>
      <c r="F264" s="36"/>
      <c r="G264" s="30"/>
      <c r="H264" s="30"/>
      <c r="I264" s="31"/>
      <c r="J264" s="32"/>
      <c r="K264" s="32" t="b">
        <f t="shared" si="8"/>
        <v>0</v>
      </c>
      <c r="L264" s="61">
        <f t="shared" si="9"/>
        <v>0</v>
      </c>
      <c r="M264" s="33"/>
      <c r="N264" s="34"/>
    </row>
    <row r="265" spans="1:14" ht="34.5" customHeight="1" x14ac:dyDescent="0.25">
      <c r="A265" s="26"/>
      <c r="B265" s="35"/>
      <c r="C265" s="27"/>
      <c r="D265" s="28"/>
      <c r="E265" s="36"/>
      <c r="F265" s="36"/>
      <c r="G265" s="30"/>
      <c r="H265" s="30"/>
      <c r="I265" s="31"/>
      <c r="J265" s="32"/>
      <c r="K265" s="32" t="b">
        <f t="shared" si="8"/>
        <v>0</v>
      </c>
      <c r="L265" s="61">
        <f t="shared" si="9"/>
        <v>0</v>
      </c>
      <c r="M265" s="33"/>
      <c r="N265" s="34"/>
    </row>
    <row r="266" spans="1:14" ht="34.5" customHeight="1" x14ac:dyDescent="0.25">
      <c r="A266" s="26"/>
      <c r="B266" s="35"/>
      <c r="C266" s="27"/>
      <c r="D266" s="28"/>
      <c r="E266" s="36"/>
      <c r="F266" s="36"/>
      <c r="G266" s="30"/>
      <c r="H266" s="30"/>
      <c r="I266" s="31"/>
      <c r="J266" s="32"/>
      <c r="K266" s="32" t="b">
        <f t="shared" si="8"/>
        <v>0</v>
      </c>
      <c r="L266" s="61">
        <f t="shared" si="9"/>
        <v>0</v>
      </c>
      <c r="M266" s="33"/>
      <c r="N266" s="34"/>
    </row>
    <row r="267" spans="1:14" ht="34.5" customHeight="1" x14ac:dyDescent="0.25">
      <c r="A267" s="26"/>
      <c r="B267" s="35"/>
      <c r="C267" s="27"/>
      <c r="D267" s="28"/>
      <c r="E267" s="36"/>
      <c r="F267" s="36"/>
      <c r="G267" s="30"/>
      <c r="H267" s="30"/>
      <c r="I267" s="31"/>
      <c r="J267" s="32"/>
      <c r="K267" s="32" t="b">
        <f t="shared" si="8"/>
        <v>0</v>
      </c>
      <c r="L267" s="61">
        <f t="shared" si="9"/>
        <v>0</v>
      </c>
      <c r="M267" s="33"/>
      <c r="N267" s="34"/>
    </row>
    <row r="268" spans="1:14" ht="34.5" customHeight="1" x14ac:dyDescent="0.25">
      <c r="A268" s="26"/>
      <c r="B268" s="35"/>
      <c r="C268" s="27"/>
      <c r="D268" s="28"/>
      <c r="E268" s="36"/>
      <c r="F268" s="36"/>
      <c r="G268" s="30"/>
      <c r="H268" s="30"/>
      <c r="I268" s="31"/>
      <c r="J268" s="32"/>
      <c r="K268" s="32" t="b">
        <f t="shared" si="8"/>
        <v>0</v>
      </c>
      <c r="L268" s="61">
        <f t="shared" si="9"/>
        <v>0</v>
      </c>
      <c r="M268" s="33"/>
      <c r="N268" s="34"/>
    </row>
    <row r="269" spans="1:14" ht="34.5" customHeight="1" x14ac:dyDescent="0.25">
      <c r="A269" s="26"/>
      <c r="B269" s="35"/>
      <c r="C269" s="27"/>
      <c r="D269" s="28"/>
      <c r="E269" s="36"/>
      <c r="F269" s="36"/>
      <c r="G269" s="30"/>
      <c r="H269" s="30"/>
      <c r="I269" s="31"/>
      <c r="J269" s="32"/>
      <c r="K269" s="32" t="b">
        <f t="shared" si="8"/>
        <v>0</v>
      </c>
      <c r="L269" s="61">
        <f t="shared" si="9"/>
        <v>0</v>
      </c>
      <c r="M269" s="33"/>
      <c r="N269" s="34"/>
    </row>
    <row r="270" spans="1:14" ht="34.5" customHeight="1" x14ac:dyDescent="0.25">
      <c r="A270" s="26"/>
      <c r="B270" s="35"/>
      <c r="C270" s="27"/>
      <c r="D270" s="28"/>
      <c r="E270" s="36"/>
      <c r="F270" s="36"/>
      <c r="G270" s="30"/>
      <c r="H270" s="30"/>
      <c r="I270" s="31"/>
      <c r="J270" s="32"/>
      <c r="K270" s="32" t="b">
        <f t="shared" si="8"/>
        <v>0</v>
      </c>
      <c r="L270" s="61">
        <f t="shared" si="9"/>
        <v>0</v>
      </c>
      <c r="M270" s="33"/>
      <c r="N270" s="34"/>
    </row>
    <row r="271" spans="1:14" ht="34.5" customHeight="1" x14ac:dyDescent="0.25">
      <c r="A271" s="26"/>
      <c r="B271" s="45"/>
      <c r="C271" s="27"/>
      <c r="D271" s="28"/>
      <c r="E271" s="53"/>
      <c r="F271" s="53"/>
      <c r="G271" s="42"/>
      <c r="H271" s="42"/>
      <c r="I271" s="31"/>
      <c r="J271" s="32"/>
      <c r="K271" s="32" t="b">
        <f t="shared" si="8"/>
        <v>0</v>
      </c>
      <c r="L271" s="61">
        <f t="shared" si="9"/>
        <v>0</v>
      </c>
      <c r="M271" s="33"/>
      <c r="N271" s="34"/>
    </row>
    <row r="272" spans="1:14" ht="34.5" customHeight="1" x14ac:dyDescent="0.25">
      <c r="A272" s="26"/>
      <c r="B272" s="45"/>
      <c r="C272" s="27"/>
      <c r="D272" s="28"/>
      <c r="E272" s="53"/>
      <c r="F272" s="53"/>
      <c r="G272" s="42"/>
      <c r="H272" s="42"/>
      <c r="I272" s="31"/>
      <c r="J272" s="32"/>
      <c r="K272" s="32" t="b">
        <f t="shared" si="8"/>
        <v>0</v>
      </c>
      <c r="L272" s="61">
        <f t="shared" si="9"/>
        <v>0</v>
      </c>
      <c r="M272" s="33"/>
      <c r="N272" s="34"/>
    </row>
    <row r="273" spans="1:14" ht="34.5" customHeight="1" x14ac:dyDescent="0.25">
      <c r="A273" s="26"/>
      <c r="B273" s="35"/>
      <c r="C273" s="27"/>
      <c r="D273" s="28"/>
      <c r="E273" s="36"/>
      <c r="F273" s="36"/>
      <c r="G273" s="30"/>
      <c r="H273" s="30"/>
      <c r="I273" s="31"/>
      <c r="J273" s="32"/>
      <c r="K273" s="32" t="b">
        <f t="shared" si="8"/>
        <v>0</v>
      </c>
      <c r="L273" s="61">
        <f t="shared" si="9"/>
        <v>0</v>
      </c>
      <c r="M273" s="33"/>
      <c r="N273" s="34"/>
    </row>
    <row r="274" spans="1:14" ht="34.5" customHeight="1" x14ac:dyDescent="0.25">
      <c r="A274" s="26"/>
      <c r="B274" s="35"/>
      <c r="C274" s="27"/>
      <c r="D274" s="28"/>
      <c r="E274" s="36"/>
      <c r="F274" s="36"/>
      <c r="G274" s="30"/>
      <c r="H274" s="30"/>
      <c r="I274" s="31"/>
      <c r="J274" s="32"/>
      <c r="K274" s="32" t="b">
        <f t="shared" si="8"/>
        <v>0</v>
      </c>
      <c r="L274" s="61">
        <f t="shared" si="9"/>
        <v>0</v>
      </c>
      <c r="M274" s="33"/>
      <c r="N274" s="34"/>
    </row>
    <row r="275" spans="1:14" ht="34.5" customHeight="1" x14ac:dyDescent="0.25">
      <c r="A275" s="26"/>
      <c r="B275" s="35"/>
      <c r="C275" s="27"/>
      <c r="D275" s="28"/>
      <c r="E275" s="36"/>
      <c r="F275" s="36"/>
      <c r="G275" s="30"/>
      <c r="H275" s="30"/>
      <c r="I275" s="31"/>
      <c r="J275" s="32"/>
      <c r="K275" s="32" t="b">
        <f t="shared" si="8"/>
        <v>0</v>
      </c>
      <c r="L275" s="61">
        <f t="shared" si="9"/>
        <v>0</v>
      </c>
      <c r="M275" s="33"/>
      <c r="N275" s="34"/>
    </row>
    <row r="276" spans="1:14" ht="34.5" customHeight="1" x14ac:dyDescent="0.25">
      <c r="A276" s="26"/>
      <c r="B276" s="35"/>
      <c r="C276" s="27"/>
      <c r="D276" s="28"/>
      <c r="E276" s="36"/>
      <c r="F276" s="36"/>
      <c r="G276" s="30"/>
      <c r="H276" s="30"/>
      <c r="I276" s="31"/>
      <c r="J276" s="32"/>
      <c r="K276" s="32" t="b">
        <f t="shared" si="8"/>
        <v>0</v>
      </c>
      <c r="L276" s="61">
        <f t="shared" si="9"/>
        <v>0</v>
      </c>
      <c r="M276" s="33"/>
      <c r="N276" s="34"/>
    </row>
    <row r="277" spans="1:14" ht="34.5" customHeight="1" x14ac:dyDescent="0.25">
      <c r="A277" s="26"/>
      <c r="B277" s="35"/>
      <c r="C277" s="27"/>
      <c r="D277" s="28"/>
      <c r="E277" s="36"/>
      <c r="F277" s="36"/>
      <c r="G277" s="30"/>
      <c r="H277" s="30"/>
      <c r="I277" s="31"/>
      <c r="J277" s="32"/>
      <c r="K277" s="32" t="b">
        <f t="shared" si="8"/>
        <v>0</v>
      </c>
      <c r="L277" s="61">
        <f t="shared" si="9"/>
        <v>0</v>
      </c>
      <c r="M277" s="33"/>
      <c r="N277" s="34"/>
    </row>
    <row r="278" spans="1:14" ht="34.5" customHeight="1" x14ac:dyDescent="0.25">
      <c r="A278" s="26"/>
      <c r="B278" s="35"/>
      <c r="C278" s="27"/>
      <c r="D278" s="28"/>
      <c r="E278" s="36"/>
      <c r="F278" s="36"/>
      <c r="G278" s="30"/>
      <c r="H278" s="30"/>
      <c r="I278" s="31"/>
      <c r="J278" s="32"/>
      <c r="K278" s="32" t="b">
        <f t="shared" si="8"/>
        <v>0</v>
      </c>
      <c r="L278" s="61">
        <f t="shared" si="9"/>
        <v>0</v>
      </c>
      <c r="M278" s="33"/>
      <c r="N278" s="34"/>
    </row>
    <row r="279" spans="1:14" ht="34.5" customHeight="1" x14ac:dyDescent="0.25">
      <c r="A279" s="26"/>
      <c r="B279" s="35"/>
      <c r="C279" s="27"/>
      <c r="D279" s="28"/>
      <c r="E279" s="36"/>
      <c r="F279" s="36"/>
      <c r="G279" s="30"/>
      <c r="H279" s="30"/>
      <c r="I279" s="31"/>
      <c r="J279" s="32"/>
      <c r="K279" s="32" t="b">
        <f t="shared" si="8"/>
        <v>0</v>
      </c>
      <c r="L279" s="61">
        <f t="shared" si="9"/>
        <v>0</v>
      </c>
      <c r="M279" s="33"/>
      <c r="N279" s="34"/>
    </row>
    <row r="280" spans="1:14" ht="34.5" customHeight="1" x14ac:dyDescent="0.25">
      <c r="A280" s="26"/>
      <c r="B280" s="35"/>
      <c r="C280" s="27"/>
      <c r="D280" s="28"/>
      <c r="E280" s="36"/>
      <c r="F280" s="36"/>
      <c r="G280" s="30"/>
      <c r="H280" s="30"/>
      <c r="I280" s="31"/>
      <c r="J280" s="32"/>
      <c r="K280" s="32" t="b">
        <f t="shared" si="8"/>
        <v>0</v>
      </c>
      <c r="L280" s="61">
        <f t="shared" si="9"/>
        <v>0</v>
      </c>
      <c r="M280" s="33"/>
      <c r="N280" s="34"/>
    </row>
    <row r="281" spans="1:14" ht="34.5" customHeight="1" x14ac:dyDescent="0.25">
      <c r="A281" s="26"/>
      <c r="B281" s="35"/>
      <c r="C281" s="27"/>
      <c r="D281" s="28"/>
      <c r="E281" s="36"/>
      <c r="F281" s="36"/>
      <c r="G281" s="30"/>
      <c r="H281" s="30"/>
      <c r="I281" s="31"/>
      <c r="J281" s="32"/>
      <c r="K281" s="32" t="b">
        <f t="shared" si="8"/>
        <v>0</v>
      </c>
      <c r="L281" s="61">
        <f t="shared" si="9"/>
        <v>0</v>
      </c>
      <c r="M281" s="33"/>
      <c r="N281" s="34"/>
    </row>
    <row r="282" spans="1:14" ht="34.5" customHeight="1" x14ac:dyDescent="0.25">
      <c r="A282" s="26"/>
      <c r="B282" s="35"/>
      <c r="C282" s="27"/>
      <c r="D282" s="28"/>
      <c r="E282" s="36"/>
      <c r="F282" s="36"/>
      <c r="G282" s="30"/>
      <c r="H282" s="30"/>
      <c r="I282" s="31"/>
      <c r="J282" s="32"/>
      <c r="K282" s="32" t="b">
        <f t="shared" si="8"/>
        <v>0</v>
      </c>
      <c r="L282" s="61">
        <f t="shared" si="9"/>
        <v>0</v>
      </c>
      <c r="M282" s="33"/>
      <c r="N282" s="34"/>
    </row>
    <row r="283" spans="1:14" ht="34.5" customHeight="1" x14ac:dyDescent="0.25">
      <c r="A283" s="26"/>
      <c r="B283" s="35"/>
      <c r="C283" s="27"/>
      <c r="D283" s="28"/>
      <c r="E283" s="36"/>
      <c r="F283" s="36"/>
      <c r="G283" s="30"/>
      <c r="H283" s="30"/>
      <c r="I283" s="31"/>
      <c r="J283" s="32"/>
      <c r="K283" s="32" t="b">
        <f t="shared" si="8"/>
        <v>0</v>
      </c>
      <c r="L283" s="61">
        <f t="shared" si="9"/>
        <v>0</v>
      </c>
      <c r="M283" s="33"/>
      <c r="N283" s="34"/>
    </row>
    <row r="284" spans="1:14" ht="34.5" customHeight="1" x14ac:dyDescent="0.25">
      <c r="A284" s="26"/>
      <c r="B284" s="35"/>
      <c r="C284" s="27"/>
      <c r="D284" s="28"/>
      <c r="E284" s="36"/>
      <c r="F284" s="36"/>
      <c r="G284" s="30"/>
      <c r="H284" s="30"/>
      <c r="I284" s="31"/>
      <c r="J284" s="32"/>
      <c r="K284" s="32" t="b">
        <f t="shared" si="8"/>
        <v>0</v>
      </c>
      <c r="L284" s="61">
        <f t="shared" si="9"/>
        <v>0</v>
      </c>
      <c r="M284" s="33"/>
      <c r="N284" s="34"/>
    </row>
    <row r="285" spans="1:14" ht="34.5" customHeight="1" x14ac:dyDescent="0.25">
      <c r="A285" s="26"/>
      <c r="B285" s="35"/>
      <c r="C285" s="27"/>
      <c r="D285" s="28"/>
      <c r="E285" s="36"/>
      <c r="F285" s="36"/>
      <c r="G285" s="30"/>
      <c r="H285" s="30"/>
      <c r="I285" s="31"/>
      <c r="J285" s="32"/>
      <c r="K285" s="32" t="b">
        <f t="shared" si="8"/>
        <v>0</v>
      </c>
      <c r="L285" s="61">
        <f t="shared" si="9"/>
        <v>0</v>
      </c>
      <c r="M285" s="33"/>
      <c r="N285" s="34"/>
    </row>
    <row r="286" spans="1:14" ht="34.5" customHeight="1" x14ac:dyDescent="0.25">
      <c r="A286" s="26"/>
      <c r="B286" s="35"/>
      <c r="C286" s="27"/>
      <c r="D286" s="28"/>
      <c r="E286" s="36"/>
      <c r="F286" s="36"/>
      <c r="G286" s="30"/>
      <c r="H286" s="30"/>
      <c r="I286" s="31"/>
      <c r="J286" s="32"/>
      <c r="K286" s="32" t="b">
        <f t="shared" si="8"/>
        <v>0</v>
      </c>
      <c r="L286" s="61">
        <f t="shared" si="9"/>
        <v>0</v>
      </c>
      <c r="M286" s="33"/>
      <c r="N286" s="34"/>
    </row>
    <row r="287" spans="1:14" ht="34.5" customHeight="1" x14ac:dyDescent="0.25">
      <c r="A287" s="26"/>
      <c r="B287" s="35"/>
      <c r="C287" s="27"/>
      <c r="D287" s="28"/>
      <c r="E287" s="36"/>
      <c r="F287" s="36"/>
      <c r="G287" s="30"/>
      <c r="H287" s="30"/>
      <c r="I287" s="31"/>
      <c r="J287" s="32"/>
      <c r="K287" s="32" t="b">
        <f t="shared" si="8"/>
        <v>0</v>
      </c>
      <c r="L287" s="61">
        <f t="shared" si="9"/>
        <v>0</v>
      </c>
      <c r="M287" s="33"/>
      <c r="N287" s="34"/>
    </row>
    <row r="288" spans="1:14" ht="34.5" customHeight="1" x14ac:dyDescent="0.25">
      <c r="A288" s="26"/>
      <c r="B288" s="35"/>
      <c r="C288" s="27"/>
      <c r="D288" s="28"/>
      <c r="E288" s="36"/>
      <c r="F288" s="36"/>
      <c r="G288" s="30"/>
      <c r="H288" s="30"/>
      <c r="I288" s="31"/>
      <c r="J288" s="32"/>
      <c r="K288" s="32" t="b">
        <f t="shared" si="8"/>
        <v>0</v>
      </c>
      <c r="L288" s="61">
        <f t="shared" si="9"/>
        <v>0</v>
      </c>
      <c r="M288" s="33"/>
      <c r="N288" s="34"/>
    </row>
    <row r="289" spans="1:14" ht="34.5" customHeight="1" x14ac:dyDescent="0.25">
      <c r="A289" s="26"/>
      <c r="B289" s="35"/>
      <c r="C289" s="27"/>
      <c r="D289" s="28"/>
      <c r="E289" s="36"/>
      <c r="F289" s="36"/>
      <c r="G289" s="30"/>
      <c r="H289" s="30"/>
      <c r="I289" s="31"/>
      <c r="J289" s="32"/>
      <c r="K289" s="32" t="b">
        <f t="shared" si="8"/>
        <v>0</v>
      </c>
      <c r="L289" s="61">
        <f t="shared" si="9"/>
        <v>0</v>
      </c>
      <c r="M289" s="33"/>
      <c r="N289" s="34"/>
    </row>
    <row r="290" spans="1:14" ht="34.5" customHeight="1" x14ac:dyDescent="0.25">
      <c r="A290" s="26"/>
      <c r="B290" s="35"/>
      <c r="C290" s="27"/>
      <c r="D290" s="28"/>
      <c r="E290" s="36"/>
      <c r="F290" s="36"/>
      <c r="G290" s="30"/>
      <c r="H290" s="30"/>
      <c r="I290" s="31"/>
      <c r="J290" s="32"/>
      <c r="K290" s="32" t="b">
        <f t="shared" si="8"/>
        <v>0</v>
      </c>
      <c r="L290" s="61">
        <f t="shared" si="9"/>
        <v>0</v>
      </c>
      <c r="M290" s="33"/>
      <c r="N290" s="34"/>
    </row>
    <row r="291" spans="1:14" ht="34.5" customHeight="1" x14ac:dyDescent="0.25">
      <c r="A291" s="26"/>
      <c r="B291" s="35"/>
      <c r="C291" s="27"/>
      <c r="D291" s="28"/>
      <c r="E291" s="36"/>
      <c r="F291" s="36"/>
      <c r="G291" s="27"/>
      <c r="H291" s="27"/>
      <c r="I291" s="31"/>
      <c r="J291" s="32"/>
      <c r="K291" s="32" t="b">
        <f t="shared" si="8"/>
        <v>0</v>
      </c>
      <c r="L291" s="61">
        <f t="shared" si="9"/>
        <v>0</v>
      </c>
      <c r="M291" s="33"/>
      <c r="N291" s="34"/>
    </row>
    <row r="292" spans="1:14" ht="34.5" customHeight="1" x14ac:dyDescent="0.25">
      <c r="A292" s="26"/>
      <c r="B292" s="35"/>
      <c r="C292" s="27"/>
      <c r="D292" s="28"/>
      <c r="E292" s="36"/>
      <c r="F292" s="36"/>
      <c r="G292" s="30"/>
      <c r="H292" s="30"/>
      <c r="I292" s="31"/>
      <c r="J292" s="32"/>
      <c r="K292" s="32" t="b">
        <f t="shared" si="8"/>
        <v>0</v>
      </c>
      <c r="L292" s="61">
        <f t="shared" si="9"/>
        <v>0</v>
      </c>
      <c r="M292" s="33"/>
      <c r="N292" s="34"/>
    </row>
    <row r="293" spans="1:14" ht="34.5" customHeight="1" x14ac:dyDescent="0.25">
      <c r="A293" s="26"/>
      <c r="B293" s="35"/>
      <c r="C293" s="27"/>
      <c r="D293" s="28"/>
      <c r="E293" s="36"/>
      <c r="F293" s="36"/>
      <c r="G293" s="30"/>
      <c r="H293" s="30"/>
      <c r="I293" s="31"/>
      <c r="J293" s="32"/>
      <c r="K293" s="32" t="b">
        <f t="shared" si="8"/>
        <v>0</v>
      </c>
      <c r="L293" s="61">
        <f t="shared" si="9"/>
        <v>0</v>
      </c>
      <c r="M293" s="33"/>
      <c r="N293" s="34"/>
    </row>
    <row r="294" spans="1:14" ht="34.5" customHeight="1" x14ac:dyDescent="0.25">
      <c r="A294" s="26"/>
      <c r="B294" s="35"/>
      <c r="C294" s="27"/>
      <c r="D294" s="28"/>
      <c r="E294" s="36"/>
      <c r="F294" s="36"/>
      <c r="G294" s="30"/>
      <c r="H294" s="30"/>
      <c r="I294" s="31"/>
      <c r="J294" s="32"/>
      <c r="K294" s="32" t="b">
        <f t="shared" si="8"/>
        <v>0</v>
      </c>
      <c r="L294" s="61">
        <f t="shared" si="9"/>
        <v>0</v>
      </c>
      <c r="M294" s="33"/>
      <c r="N294" s="34"/>
    </row>
    <row r="295" spans="1:14" ht="34.5" customHeight="1" x14ac:dyDescent="0.3">
      <c r="A295" s="26"/>
      <c r="B295" s="62"/>
      <c r="C295" s="63"/>
      <c r="D295" s="66"/>
      <c r="E295" s="83"/>
      <c r="F295" s="83"/>
      <c r="G295" s="64"/>
      <c r="H295" s="64"/>
      <c r="I295" s="65"/>
      <c r="J295" s="64"/>
      <c r="K295" s="32" t="b">
        <f t="shared" si="8"/>
        <v>0</v>
      </c>
      <c r="L295" s="61">
        <f t="shared" si="9"/>
        <v>0</v>
      </c>
      <c r="M295" s="33"/>
      <c r="N295" s="34"/>
    </row>
    <row r="296" spans="1:14" ht="34.5" customHeight="1" x14ac:dyDescent="0.25">
      <c r="A296" s="26"/>
      <c r="B296" s="35"/>
      <c r="C296" s="27"/>
      <c r="D296" s="28"/>
      <c r="E296" s="36"/>
      <c r="F296" s="36"/>
      <c r="G296" s="30"/>
      <c r="H296" s="30"/>
      <c r="I296" s="31"/>
      <c r="J296" s="32"/>
      <c r="K296" s="32" t="b">
        <f t="shared" si="8"/>
        <v>0</v>
      </c>
      <c r="L296" s="61">
        <f t="shared" si="9"/>
        <v>0</v>
      </c>
      <c r="M296" s="33"/>
      <c r="N296" s="34"/>
    </row>
    <row r="297" spans="1:14" ht="34.5" customHeight="1" x14ac:dyDescent="0.25">
      <c r="A297" s="26"/>
      <c r="B297" s="35"/>
      <c r="C297" s="27"/>
      <c r="D297" s="28"/>
      <c r="E297" s="36"/>
      <c r="F297" s="36"/>
      <c r="G297" s="30"/>
      <c r="H297" s="30"/>
      <c r="I297" s="31"/>
      <c r="J297" s="32"/>
      <c r="K297" s="32" t="b">
        <f t="shared" si="8"/>
        <v>0</v>
      </c>
      <c r="L297" s="61">
        <f t="shared" si="9"/>
        <v>0</v>
      </c>
      <c r="M297" s="33"/>
      <c r="N297" s="34"/>
    </row>
    <row r="298" spans="1:14" ht="34.5" customHeight="1" x14ac:dyDescent="0.25">
      <c r="A298" s="26"/>
      <c r="B298" s="35"/>
      <c r="C298" s="27"/>
      <c r="D298" s="28"/>
      <c r="E298" s="36"/>
      <c r="F298" s="36"/>
      <c r="G298" s="30"/>
      <c r="H298" s="30"/>
      <c r="I298" s="31"/>
      <c r="J298" s="32"/>
      <c r="K298" s="32" t="b">
        <f t="shared" si="8"/>
        <v>0</v>
      </c>
      <c r="L298" s="61">
        <f t="shared" si="9"/>
        <v>0</v>
      </c>
      <c r="M298" s="33"/>
      <c r="N298" s="34"/>
    </row>
    <row r="299" spans="1:14" ht="34.5" customHeight="1" x14ac:dyDescent="0.25">
      <c r="A299" s="26"/>
      <c r="B299" s="35"/>
      <c r="C299" s="27"/>
      <c r="D299" s="28"/>
      <c r="E299" s="36"/>
      <c r="F299" s="36"/>
      <c r="G299" s="30"/>
      <c r="H299" s="30"/>
      <c r="I299" s="31"/>
      <c r="J299" s="32"/>
      <c r="K299" s="32" t="b">
        <f t="shared" si="8"/>
        <v>0</v>
      </c>
      <c r="L299" s="61">
        <f t="shared" si="9"/>
        <v>0</v>
      </c>
      <c r="M299" s="33"/>
      <c r="N299" s="34"/>
    </row>
    <row r="300" spans="1:14" ht="34.5" customHeight="1" x14ac:dyDescent="0.25">
      <c r="A300" s="26"/>
      <c r="B300" s="35"/>
      <c r="C300" s="27"/>
      <c r="D300" s="28"/>
      <c r="E300" s="36"/>
      <c r="F300" s="36"/>
      <c r="G300" s="30"/>
      <c r="H300" s="30"/>
      <c r="I300" s="31"/>
      <c r="J300" s="32"/>
      <c r="K300" s="32" t="b">
        <f t="shared" si="8"/>
        <v>0</v>
      </c>
      <c r="L300" s="61">
        <f t="shared" si="9"/>
        <v>0</v>
      </c>
      <c r="M300" s="33"/>
      <c r="N300" s="34"/>
    </row>
    <row r="301" spans="1:14" ht="34.5" customHeight="1" x14ac:dyDescent="0.25">
      <c r="A301" s="26"/>
      <c r="B301" s="84"/>
      <c r="C301" s="85"/>
      <c r="D301" s="86"/>
      <c r="E301" s="87"/>
      <c r="F301" s="88"/>
      <c r="G301" s="86"/>
      <c r="H301" s="86"/>
      <c r="I301" s="89"/>
      <c r="J301" s="67"/>
      <c r="K301" s="32" t="b">
        <f t="shared" si="8"/>
        <v>0</v>
      </c>
      <c r="L301" s="61">
        <f t="shared" si="9"/>
        <v>0</v>
      </c>
      <c r="M301" s="33"/>
      <c r="N301" s="34"/>
    </row>
    <row r="302" spans="1:14" ht="34.5" customHeight="1" x14ac:dyDescent="0.25">
      <c r="A302" s="26"/>
      <c r="B302" s="35"/>
      <c r="C302" s="27"/>
      <c r="D302" s="28"/>
      <c r="E302" s="36"/>
      <c r="F302" s="36"/>
      <c r="G302" s="30"/>
      <c r="H302" s="30"/>
      <c r="I302" s="31"/>
      <c r="J302" s="32"/>
      <c r="K302" s="32" t="b">
        <f t="shared" si="8"/>
        <v>0</v>
      </c>
      <c r="L302" s="61">
        <f t="shared" si="9"/>
        <v>0</v>
      </c>
      <c r="M302" s="33"/>
      <c r="N302" s="34"/>
    </row>
    <row r="303" spans="1:14" ht="34.5" customHeight="1" x14ac:dyDescent="0.25">
      <c r="A303" s="26"/>
      <c r="B303" s="35"/>
      <c r="C303" s="27"/>
      <c r="D303" s="28"/>
      <c r="E303" s="36"/>
      <c r="F303" s="36"/>
      <c r="G303" s="30"/>
      <c r="H303" s="30"/>
      <c r="I303" s="31"/>
      <c r="J303" s="32"/>
      <c r="K303" s="32" t="b">
        <f t="shared" si="8"/>
        <v>0</v>
      </c>
      <c r="L303" s="61">
        <f t="shared" si="9"/>
        <v>0</v>
      </c>
      <c r="M303" s="33"/>
      <c r="N303" s="34"/>
    </row>
    <row r="304" spans="1:14" ht="34.5" customHeight="1" x14ac:dyDescent="0.25">
      <c r="A304" s="26"/>
      <c r="B304" s="35"/>
      <c r="C304" s="27"/>
      <c r="D304" s="28"/>
      <c r="E304" s="36"/>
      <c r="F304" s="36"/>
      <c r="G304" s="30"/>
      <c r="H304" s="30"/>
      <c r="I304" s="31"/>
      <c r="J304" s="32"/>
      <c r="K304" s="32" t="b">
        <f t="shared" si="8"/>
        <v>0</v>
      </c>
      <c r="L304" s="61">
        <f t="shared" si="9"/>
        <v>0</v>
      </c>
      <c r="M304" s="33"/>
      <c r="N304" s="34"/>
    </row>
    <row r="305" spans="1:14" ht="34.5" customHeight="1" x14ac:dyDescent="0.25">
      <c r="A305" s="26"/>
      <c r="B305" s="35"/>
      <c r="C305" s="27"/>
      <c r="D305" s="28"/>
      <c r="E305" s="36"/>
      <c r="F305" s="36"/>
      <c r="G305" s="30"/>
      <c r="H305" s="30"/>
      <c r="I305" s="31"/>
      <c r="J305" s="32"/>
      <c r="K305" s="32" t="b">
        <f t="shared" si="8"/>
        <v>0</v>
      </c>
      <c r="L305" s="61">
        <f t="shared" si="9"/>
        <v>0</v>
      </c>
      <c r="M305" s="33"/>
      <c r="N305" s="34"/>
    </row>
    <row r="306" spans="1:14" ht="34.5" customHeight="1" x14ac:dyDescent="0.25">
      <c r="A306" s="26"/>
      <c r="B306" s="35"/>
      <c r="C306" s="27"/>
      <c r="D306" s="28"/>
      <c r="E306" s="36"/>
      <c r="F306" s="36"/>
      <c r="G306" s="30"/>
      <c r="H306" s="30"/>
      <c r="I306" s="31"/>
      <c r="J306" s="32"/>
      <c r="K306" s="32" t="b">
        <f t="shared" si="8"/>
        <v>0</v>
      </c>
      <c r="L306" s="61">
        <f t="shared" si="9"/>
        <v>0</v>
      </c>
      <c r="M306" s="33"/>
      <c r="N306" s="34"/>
    </row>
    <row r="307" spans="1:14" ht="34.5" customHeight="1" x14ac:dyDescent="0.25">
      <c r="A307" s="26"/>
      <c r="B307" s="35"/>
      <c r="C307" s="27"/>
      <c r="D307" s="28"/>
      <c r="E307" s="36"/>
      <c r="F307" s="36"/>
      <c r="G307" s="30"/>
      <c r="H307" s="30"/>
      <c r="I307" s="31"/>
      <c r="J307" s="32"/>
      <c r="K307" s="32" t="b">
        <f t="shared" si="8"/>
        <v>0</v>
      </c>
      <c r="L307" s="61">
        <f t="shared" si="9"/>
        <v>0</v>
      </c>
      <c r="M307" s="33"/>
      <c r="N307" s="34"/>
    </row>
    <row r="308" spans="1:14" ht="34.5" customHeight="1" x14ac:dyDescent="0.25">
      <c r="A308" s="26"/>
      <c r="B308" s="35"/>
      <c r="C308" s="27"/>
      <c r="D308" s="28"/>
      <c r="E308" s="36"/>
      <c r="F308" s="36"/>
      <c r="G308" s="30"/>
      <c r="H308" s="30"/>
      <c r="I308" s="31"/>
      <c r="J308" s="32"/>
      <c r="K308" s="32" t="b">
        <f t="shared" si="8"/>
        <v>0</v>
      </c>
      <c r="L308" s="61">
        <f t="shared" si="9"/>
        <v>0</v>
      </c>
      <c r="M308" s="33"/>
      <c r="N308" s="34"/>
    </row>
    <row r="309" spans="1:14" ht="34.5" customHeight="1" x14ac:dyDescent="0.25">
      <c r="A309" s="26"/>
      <c r="B309" s="35"/>
      <c r="C309" s="27"/>
      <c r="D309" s="28"/>
      <c r="E309" s="36"/>
      <c r="F309" s="36"/>
      <c r="G309" s="30"/>
      <c r="H309" s="30"/>
      <c r="I309" s="31"/>
      <c r="J309" s="32"/>
      <c r="K309" s="32" t="b">
        <f t="shared" si="8"/>
        <v>0</v>
      </c>
      <c r="L309" s="61">
        <f t="shared" si="9"/>
        <v>0</v>
      </c>
      <c r="M309" s="33"/>
      <c r="N309" s="34"/>
    </row>
    <row r="310" spans="1:14" ht="34.5" customHeight="1" x14ac:dyDescent="0.25">
      <c r="A310" s="26"/>
      <c r="B310" s="35"/>
      <c r="C310" s="27"/>
      <c r="D310" s="28"/>
      <c r="E310" s="36"/>
      <c r="F310" s="36"/>
      <c r="G310" s="30"/>
      <c r="H310" s="30"/>
      <c r="I310" s="31"/>
      <c r="J310" s="32"/>
      <c r="K310" s="32" t="b">
        <f t="shared" si="8"/>
        <v>0</v>
      </c>
      <c r="L310" s="61">
        <f t="shared" si="9"/>
        <v>0</v>
      </c>
      <c r="M310" s="33"/>
      <c r="N310" s="34"/>
    </row>
    <row r="311" spans="1:14" ht="34.5" customHeight="1" x14ac:dyDescent="0.25">
      <c r="A311" s="26"/>
      <c r="B311" s="35"/>
      <c r="C311" s="27"/>
      <c r="D311" s="28"/>
      <c r="E311" s="36"/>
      <c r="F311" s="36"/>
      <c r="G311" s="30"/>
      <c r="H311" s="30"/>
      <c r="I311" s="31"/>
      <c r="J311" s="32"/>
      <c r="K311" s="32" t="b">
        <f t="shared" si="8"/>
        <v>0</v>
      </c>
      <c r="L311" s="61">
        <f t="shared" si="9"/>
        <v>0</v>
      </c>
      <c r="M311" s="33"/>
      <c r="N311" s="34"/>
    </row>
    <row r="312" spans="1:14" ht="34.5" customHeight="1" x14ac:dyDescent="0.25">
      <c r="A312" s="26"/>
      <c r="B312" s="35"/>
      <c r="C312" s="27"/>
      <c r="D312" s="28"/>
      <c r="E312" s="36"/>
      <c r="F312" s="36"/>
      <c r="G312" s="30"/>
      <c r="H312" s="30"/>
      <c r="I312" s="31"/>
      <c r="J312" s="32"/>
      <c r="K312" s="32" t="b">
        <f t="shared" si="8"/>
        <v>0</v>
      </c>
      <c r="L312" s="61">
        <f t="shared" si="9"/>
        <v>0</v>
      </c>
      <c r="M312" s="33"/>
      <c r="N312" s="34"/>
    </row>
    <row r="313" spans="1:14" ht="34.5" customHeight="1" x14ac:dyDescent="0.25">
      <c r="A313" s="26"/>
      <c r="B313" s="35"/>
      <c r="C313" s="27"/>
      <c r="D313" s="28"/>
      <c r="E313" s="36"/>
      <c r="F313" s="36"/>
      <c r="G313" s="30"/>
      <c r="H313" s="30"/>
      <c r="I313" s="31"/>
      <c r="J313" s="32"/>
      <c r="K313" s="32" t="b">
        <f t="shared" si="8"/>
        <v>0</v>
      </c>
      <c r="L313" s="61">
        <f t="shared" si="9"/>
        <v>0</v>
      </c>
      <c r="M313" s="33"/>
      <c r="N313" s="34"/>
    </row>
    <row r="314" spans="1:14" ht="34.5" customHeight="1" x14ac:dyDescent="0.25">
      <c r="A314" s="26"/>
      <c r="B314" s="35"/>
      <c r="C314" s="27"/>
      <c r="D314" s="28"/>
      <c r="E314" s="36"/>
      <c r="F314" s="36"/>
      <c r="G314" s="30"/>
      <c r="H314" s="30"/>
      <c r="I314" s="31"/>
      <c r="J314" s="32"/>
      <c r="K314" s="32" t="b">
        <f t="shared" si="8"/>
        <v>0</v>
      </c>
      <c r="L314" s="61">
        <f t="shared" si="9"/>
        <v>0</v>
      </c>
      <c r="M314" s="33"/>
      <c r="N314" s="34"/>
    </row>
    <row r="315" spans="1:14" ht="34.5" customHeight="1" x14ac:dyDescent="0.25">
      <c r="A315" s="26"/>
      <c r="B315" s="35"/>
      <c r="C315" s="27"/>
      <c r="D315" s="28"/>
      <c r="E315" s="36"/>
      <c r="F315" s="36"/>
      <c r="G315" s="30"/>
      <c r="H315" s="30"/>
      <c r="I315" s="31"/>
      <c r="J315" s="32"/>
      <c r="K315" s="32" t="b">
        <f t="shared" si="8"/>
        <v>0</v>
      </c>
      <c r="L315" s="61">
        <f t="shared" si="9"/>
        <v>0</v>
      </c>
      <c r="M315" s="33"/>
      <c r="N315" s="34"/>
    </row>
    <row r="316" spans="1:14" ht="34.5" customHeight="1" x14ac:dyDescent="0.25">
      <c r="A316" s="26"/>
      <c r="B316" s="35"/>
      <c r="C316" s="27"/>
      <c r="D316" s="28"/>
      <c r="E316" s="36"/>
      <c r="F316" s="36"/>
      <c r="G316" s="30"/>
      <c r="H316" s="30"/>
      <c r="I316" s="31"/>
      <c r="J316" s="32"/>
      <c r="K316" s="32" t="b">
        <f t="shared" si="8"/>
        <v>0</v>
      </c>
      <c r="L316" s="61">
        <f t="shared" si="9"/>
        <v>0</v>
      </c>
      <c r="M316" s="33"/>
      <c r="N316" s="34"/>
    </row>
    <row r="317" spans="1:14" ht="34.5" customHeight="1" x14ac:dyDescent="0.25">
      <c r="A317" s="26"/>
      <c r="B317" s="35"/>
      <c r="C317" s="27"/>
      <c r="D317" s="28"/>
      <c r="E317" s="36"/>
      <c r="F317" s="36"/>
      <c r="G317" s="30"/>
      <c r="H317" s="30"/>
      <c r="I317" s="31"/>
      <c r="J317" s="32"/>
      <c r="K317" s="32" t="b">
        <f t="shared" si="8"/>
        <v>0</v>
      </c>
      <c r="L317" s="61">
        <f t="shared" si="9"/>
        <v>0</v>
      </c>
      <c r="M317" s="33"/>
      <c r="N317" s="34"/>
    </row>
    <row r="318" spans="1:14" ht="34.5" customHeight="1" x14ac:dyDescent="0.25">
      <c r="A318" s="26"/>
      <c r="B318" s="35"/>
      <c r="C318" s="27"/>
      <c r="D318" s="28"/>
      <c r="E318" s="36"/>
      <c r="F318" s="36"/>
      <c r="G318" s="30"/>
      <c r="H318" s="30"/>
      <c r="I318" s="31"/>
      <c r="J318" s="32"/>
      <c r="K318" s="32" t="b">
        <f t="shared" si="8"/>
        <v>0</v>
      </c>
      <c r="L318" s="61">
        <f t="shared" si="9"/>
        <v>0</v>
      </c>
      <c r="M318" s="33"/>
      <c r="N318" s="34"/>
    </row>
    <row r="319" spans="1:14" ht="34.5" customHeight="1" x14ac:dyDescent="0.25">
      <c r="A319" s="26"/>
      <c r="B319" s="35"/>
      <c r="C319" s="27"/>
      <c r="D319" s="28"/>
      <c r="E319" s="36"/>
      <c r="F319" s="36"/>
      <c r="G319" s="30"/>
      <c r="H319" s="30"/>
      <c r="I319" s="31"/>
      <c r="J319" s="32"/>
      <c r="K319" s="32" t="b">
        <f t="shared" si="8"/>
        <v>0</v>
      </c>
      <c r="L319" s="61">
        <f t="shared" si="9"/>
        <v>0</v>
      </c>
      <c r="M319" s="33"/>
      <c r="N319" s="34"/>
    </row>
    <row r="320" spans="1:14" ht="34.5" customHeight="1" x14ac:dyDescent="0.25">
      <c r="A320" s="26"/>
      <c r="B320" s="35"/>
      <c r="C320" s="27"/>
      <c r="D320" s="28"/>
      <c r="E320" s="36"/>
      <c r="F320" s="36"/>
      <c r="G320" s="30"/>
      <c r="H320" s="30"/>
      <c r="I320" s="31"/>
      <c r="J320" s="32"/>
      <c r="K320" s="32" t="b">
        <f t="shared" si="8"/>
        <v>0</v>
      </c>
      <c r="L320" s="61">
        <f t="shared" si="9"/>
        <v>0</v>
      </c>
      <c r="M320" s="33"/>
      <c r="N320" s="34"/>
    </row>
    <row r="321" spans="1:14" ht="34.5" customHeight="1" x14ac:dyDescent="0.25">
      <c r="A321" s="26"/>
      <c r="B321" s="35"/>
      <c r="C321" s="27"/>
      <c r="D321" s="28"/>
      <c r="E321" s="36"/>
      <c r="F321" s="36"/>
      <c r="G321" s="30"/>
      <c r="H321" s="30"/>
      <c r="I321" s="31"/>
      <c r="J321" s="32"/>
      <c r="K321" s="32" t="b">
        <f t="shared" si="8"/>
        <v>0</v>
      </c>
      <c r="L321" s="61">
        <f t="shared" si="9"/>
        <v>0</v>
      </c>
      <c r="M321" s="33"/>
      <c r="N321" s="34"/>
    </row>
    <row r="322" spans="1:14" ht="34.5" customHeight="1" x14ac:dyDescent="0.25">
      <c r="A322" s="26"/>
      <c r="B322" s="35"/>
      <c r="C322" s="27"/>
      <c r="D322" s="28"/>
      <c r="E322" s="36"/>
      <c r="F322" s="36"/>
      <c r="G322" s="30"/>
      <c r="H322" s="30"/>
      <c r="I322" s="31"/>
      <c r="J322" s="32"/>
      <c r="K322" s="32" t="b">
        <f t="shared" si="8"/>
        <v>0</v>
      </c>
      <c r="L322" s="61">
        <f t="shared" si="9"/>
        <v>0</v>
      </c>
      <c r="M322" s="33"/>
      <c r="N322" s="34"/>
    </row>
    <row r="323" spans="1:14" ht="34.5" customHeight="1" x14ac:dyDescent="0.25">
      <c r="A323" s="26"/>
      <c r="B323" s="35"/>
      <c r="C323" s="27"/>
      <c r="D323" s="28"/>
      <c r="E323" s="36"/>
      <c r="F323" s="36"/>
      <c r="G323" s="30"/>
      <c r="H323" s="30"/>
      <c r="I323" s="31"/>
      <c r="J323" s="32"/>
      <c r="K323" s="32" t="b">
        <f t="shared" si="8"/>
        <v>0</v>
      </c>
      <c r="L323" s="61">
        <f t="shared" si="9"/>
        <v>0</v>
      </c>
      <c r="M323" s="33"/>
      <c r="N323" s="34"/>
    </row>
    <row r="324" spans="1:14" ht="34.5" customHeight="1" x14ac:dyDescent="0.3">
      <c r="A324" s="26"/>
      <c r="B324" s="68"/>
      <c r="C324" s="27"/>
      <c r="D324" s="28"/>
      <c r="E324" s="36"/>
      <c r="F324" s="36"/>
      <c r="G324" s="30"/>
      <c r="H324" s="30"/>
      <c r="I324" s="31"/>
      <c r="J324" s="32"/>
      <c r="K324" s="32" t="b">
        <f t="shared" si="8"/>
        <v>0</v>
      </c>
      <c r="L324" s="61">
        <f t="shared" si="9"/>
        <v>0</v>
      </c>
      <c r="M324" s="33"/>
      <c r="N324" s="34"/>
    </row>
    <row r="325" spans="1:14" ht="34.5" customHeight="1" x14ac:dyDescent="0.25">
      <c r="A325" s="26"/>
      <c r="B325" s="35"/>
      <c r="C325" s="27"/>
      <c r="D325" s="28"/>
      <c r="E325" s="36"/>
      <c r="F325" s="36"/>
      <c r="G325" s="30"/>
      <c r="H325" s="30"/>
      <c r="I325" s="31"/>
      <c r="J325" s="32"/>
      <c r="K325" s="32" t="b">
        <f t="shared" ref="K325:K388" si="10">IF(J325="b","0,6",IF(J325="r","0,2",IF(J325="o",0.8)))</f>
        <v>0</v>
      </c>
      <c r="L325" s="61">
        <f t="shared" ref="L325:L388" si="11">K325*I325</f>
        <v>0</v>
      </c>
      <c r="M325" s="33"/>
      <c r="N325" s="34"/>
    </row>
    <row r="326" spans="1:14" ht="34.5" customHeight="1" x14ac:dyDescent="0.25">
      <c r="A326" s="26"/>
      <c r="B326" s="35"/>
      <c r="C326" s="70"/>
      <c r="D326" s="28"/>
      <c r="E326" s="36"/>
      <c r="F326" s="36"/>
      <c r="G326" s="28"/>
      <c r="H326" s="28"/>
      <c r="I326" s="31"/>
      <c r="J326" s="32"/>
      <c r="K326" s="32" t="b">
        <f t="shared" si="10"/>
        <v>0</v>
      </c>
      <c r="L326" s="61">
        <f t="shared" si="11"/>
        <v>0</v>
      </c>
      <c r="M326" s="71"/>
      <c r="N326" s="34"/>
    </row>
    <row r="327" spans="1:14" ht="34.5" customHeight="1" x14ac:dyDescent="0.25">
      <c r="A327" s="26"/>
      <c r="B327" s="35"/>
      <c r="C327" s="70"/>
      <c r="D327" s="28"/>
      <c r="E327" s="36"/>
      <c r="F327" s="36"/>
      <c r="G327" s="28"/>
      <c r="H327" s="28"/>
      <c r="I327" s="31"/>
      <c r="J327" s="32"/>
      <c r="K327" s="32" t="b">
        <f t="shared" si="10"/>
        <v>0</v>
      </c>
      <c r="L327" s="61">
        <f t="shared" si="11"/>
        <v>0</v>
      </c>
      <c r="M327" s="33"/>
      <c r="N327" s="34"/>
    </row>
    <row r="328" spans="1:14" ht="34.5" customHeight="1" x14ac:dyDescent="0.25">
      <c r="A328" s="26"/>
      <c r="B328" s="35"/>
      <c r="C328" s="70"/>
      <c r="D328" s="28"/>
      <c r="E328" s="36"/>
      <c r="F328" s="36"/>
      <c r="G328" s="28"/>
      <c r="H328" s="28"/>
      <c r="I328" s="31"/>
      <c r="J328" s="32"/>
      <c r="K328" s="32" t="b">
        <f t="shared" si="10"/>
        <v>0</v>
      </c>
      <c r="L328" s="61">
        <f t="shared" si="11"/>
        <v>0</v>
      </c>
      <c r="M328" s="33"/>
      <c r="N328" s="34"/>
    </row>
    <row r="329" spans="1:14" ht="34.5" customHeight="1" x14ac:dyDescent="0.25">
      <c r="A329" s="26"/>
      <c r="B329" s="35"/>
      <c r="C329" s="27"/>
      <c r="D329" s="28"/>
      <c r="E329" s="36"/>
      <c r="F329" s="36"/>
      <c r="G329" s="30"/>
      <c r="H329" s="30"/>
      <c r="I329" s="31"/>
      <c r="J329" s="32"/>
      <c r="K329" s="32" t="b">
        <f t="shared" si="10"/>
        <v>0</v>
      </c>
      <c r="L329" s="61">
        <f t="shared" si="11"/>
        <v>0</v>
      </c>
      <c r="M329" s="33"/>
      <c r="N329" s="34"/>
    </row>
    <row r="330" spans="1:14" ht="34.5" customHeight="1" x14ac:dyDescent="0.25">
      <c r="A330" s="26"/>
      <c r="B330" s="35"/>
      <c r="C330" s="27"/>
      <c r="D330" s="28"/>
      <c r="E330" s="36"/>
      <c r="F330" s="36"/>
      <c r="G330" s="30"/>
      <c r="H330" s="30"/>
      <c r="I330" s="31"/>
      <c r="J330" s="32"/>
      <c r="K330" s="32" t="b">
        <f t="shared" si="10"/>
        <v>0</v>
      </c>
      <c r="L330" s="61">
        <f t="shared" si="11"/>
        <v>0</v>
      </c>
      <c r="M330" s="33"/>
      <c r="N330" s="34"/>
    </row>
    <row r="331" spans="1:14" ht="34.5" customHeight="1" x14ac:dyDescent="0.25">
      <c r="A331" s="26"/>
      <c r="B331" s="35"/>
      <c r="C331" s="27"/>
      <c r="D331" s="28"/>
      <c r="E331" s="36"/>
      <c r="F331" s="36"/>
      <c r="G331" s="30"/>
      <c r="H331" s="30"/>
      <c r="I331" s="31"/>
      <c r="J331" s="32"/>
      <c r="K331" s="32" t="b">
        <f t="shared" si="10"/>
        <v>0</v>
      </c>
      <c r="L331" s="61">
        <f t="shared" si="11"/>
        <v>0</v>
      </c>
      <c r="M331" s="33"/>
      <c r="N331" s="34"/>
    </row>
    <row r="332" spans="1:14" ht="34.5" customHeight="1" x14ac:dyDescent="0.25">
      <c r="A332" s="26"/>
      <c r="B332" s="35"/>
      <c r="C332" s="27"/>
      <c r="D332" s="28"/>
      <c r="E332" s="36"/>
      <c r="F332" s="36"/>
      <c r="G332" s="30"/>
      <c r="H332" s="30"/>
      <c r="I332" s="31"/>
      <c r="J332" s="32"/>
      <c r="K332" s="32" t="b">
        <f t="shared" si="10"/>
        <v>0</v>
      </c>
      <c r="L332" s="61">
        <f t="shared" si="11"/>
        <v>0</v>
      </c>
      <c r="M332" s="33"/>
      <c r="N332" s="34"/>
    </row>
    <row r="333" spans="1:14" ht="34.5" customHeight="1" x14ac:dyDescent="0.25">
      <c r="A333" s="26"/>
      <c r="B333" s="35"/>
      <c r="C333" s="27"/>
      <c r="D333" s="28"/>
      <c r="E333" s="36"/>
      <c r="F333" s="36"/>
      <c r="G333" s="30"/>
      <c r="H333" s="30"/>
      <c r="I333" s="31"/>
      <c r="J333" s="32"/>
      <c r="K333" s="32" t="b">
        <f t="shared" si="10"/>
        <v>0</v>
      </c>
      <c r="L333" s="61">
        <f t="shared" si="11"/>
        <v>0</v>
      </c>
      <c r="M333" s="33"/>
      <c r="N333" s="34"/>
    </row>
    <row r="334" spans="1:14" ht="34.5" customHeight="1" x14ac:dyDescent="0.25">
      <c r="A334" s="26"/>
      <c r="B334" s="35"/>
      <c r="C334" s="27"/>
      <c r="D334" s="28"/>
      <c r="E334" s="36"/>
      <c r="F334" s="36"/>
      <c r="G334" s="30"/>
      <c r="H334" s="30"/>
      <c r="I334" s="31"/>
      <c r="J334" s="32"/>
      <c r="K334" s="32" t="b">
        <f t="shared" si="10"/>
        <v>0</v>
      </c>
      <c r="L334" s="61">
        <f t="shared" si="11"/>
        <v>0</v>
      </c>
      <c r="M334" s="33"/>
      <c r="N334" s="34"/>
    </row>
    <row r="335" spans="1:14" ht="34.5" customHeight="1" x14ac:dyDescent="0.25">
      <c r="A335" s="26"/>
      <c r="B335" s="35"/>
      <c r="C335" s="27"/>
      <c r="D335" s="28"/>
      <c r="E335" s="36"/>
      <c r="F335" s="36"/>
      <c r="G335" s="30"/>
      <c r="H335" s="30"/>
      <c r="I335" s="31"/>
      <c r="J335" s="32"/>
      <c r="K335" s="32" t="b">
        <f t="shared" si="10"/>
        <v>0</v>
      </c>
      <c r="L335" s="61">
        <f t="shared" si="11"/>
        <v>0</v>
      </c>
      <c r="M335" s="33"/>
      <c r="N335" s="34"/>
    </row>
    <row r="336" spans="1:14" ht="34.5" customHeight="1" x14ac:dyDescent="0.25">
      <c r="A336" s="26"/>
      <c r="B336" s="35"/>
      <c r="C336" s="27"/>
      <c r="D336" s="28"/>
      <c r="E336" s="36"/>
      <c r="F336" s="36"/>
      <c r="G336" s="30"/>
      <c r="H336" s="30"/>
      <c r="I336" s="31"/>
      <c r="J336" s="32"/>
      <c r="K336" s="32" t="b">
        <f t="shared" si="10"/>
        <v>0</v>
      </c>
      <c r="L336" s="61">
        <f t="shared" si="11"/>
        <v>0</v>
      </c>
      <c r="M336" s="33"/>
      <c r="N336" s="34"/>
    </row>
    <row r="337" spans="1:14" ht="34.5" customHeight="1" x14ac:dyDescent="0.25">
      <c r="A337" s="26"/>
      <c r="B337" s="35"/>
      <c r="C337" s="27"/>
      <c r="D337" s="28"/>
      <c r="E337" s="36"/>
      <c r="F337" s="36"/>
      <c r="G337" s="30"/>
      <c r="H337" s="30"/>
      <c r="I337" s="31"/>
      <c r="J337" s="32"/>
      <c r="K337" s="32" t="b">
        <f t="shared" si="10"/>
        <v>0</v>
      </c>
      <c r="L337" s="61">
        <f t="shared" si="11"/>
        <v>0</v>
      </c>
      <c r="M337" s="33"/>
      <c r="N337" s="34"/>
    </row>
    <row r="338" spans="1:14" ht="34.5" customHeight="1" x14ac:dyDescent="0.25">
      <c r="A338" s="26"/>
      <c r="B338" s="35"/>
      <c r="C338" s="27"/>
      <c r="D338" s="28"/>
      <c r="E338" s="36"/>
      <c r="F338" s="36"/>
      <c r="G338" s="30"/>
      <c r="H338" s="30"/>
      <c r="I338" s="31"/>
      <c r="J338" s="32"/>
      <c r="K338" s="32" t="b">
        <f t="shared" si="10"/>
        <v>0</v>
      </c>
      <c r="L338" s="61">
        <f t="shared" si="11"/>
        <v>0</v>
      </c>
      <c r="M338" s="33"/>
      <c r="N338" s="34"/>
    </row>
    <row r="339" spans="1:14" ht="34.5" customHeight="1" x14ac:dyDescent="0.25">
      <c r="A339" s="26"/>
      <c r="B339" s="35"/>
      <c r="C339" s="27"/>
      <c r="D339" s="28"/>
      <c r="E339" s="36"/>
      <c r="F339" s="36"/>
      <c r="G339" s="30"/>
      <c r="H339" s="30"/>
      <c r="I339" s="31"/>
      <c r="J339" s="32"/>
      <c r="K339" s="32" t="b">
        <f t="shared" si="10"/>
        <v>0</v>
      </c>
      <c r="L339" s="61">
        <f t="shared" si="11"/>
        <v>0</v>
      </c>
      <c r="M339" s="33"/>
      <c r="N339" s="34"/>
    </row>
    <row r="340" spans="1:14" ht="34.5" customHeight="1" x14ac:dyDescent="0.25">
      <c r="A340" s="26"/>
      <c r="B340" s="35"/>
      <c r="C340" s="27"/>
      <c r="D340" s="28"/>
      <c r="E340" s="36"/>
      <c r="F340" s="36"/>
      <c r="G340" s="30"/>
      <c r="H340" s="30"/>
      <c r="I340" s="31"/>
      <c r="J340" s="32"/>
      <c r="K340" s="32" t="b">
        <f t="shared" si="10"/>
        <v>0</v>
      </c>
      <c r="L340" s="61">
        <f t="shared" si="11"/>
        <v>0</v>
      </c>
      <c r="M340" s="33"/>
      <c r="N340" s="34"/>
    </row>
    <row r="341" spans="1:14" ht="34.5" customHeight="1" x14ac:dyDescent="0.25">
      <c r="A341" s="26"/>
      <c r="B341" s="35"/>
      <c r="C341" s="27"/>
      <c r="D341" s="28"/>
      <c r="E341" s="36"/>
      <c r="F341" s="36"/>
      <c r="G341" s="30"/>
      <c r="H341" s="30"/>
      <c r="I341" s="31"/>
      <c r="J341" s="32"/>
      <c r="K341" s="32" t="b">
        <f t="shared" si="10"/>
        <v>0</v>
      </c>
      <c r="L341" s="61">
        <f t="shared" si="11"/>
        <v>0</v>
      </c>
      <c r="M341" s="33"/>
      <c r="N341" s="34"/>
    </row>
    <row r="342" spans="1:14" ht="34.5" customHeight="1" x14ac:dyDescent="0.25">
      <c r="A342" s="26"/>
      <c r="B342" s="35"/>
      <c r="C342" s="27"/>
      <c r="D342" s="28"/>
      <c r="E342" s="36"/>
      <c r="F342" s="36"/>
      <c r="G342" s="30"/>
      <c r="H342" s="30"/>
      <c r="I342" s="31"/>
      <c r="J342" s="32"/>
      <c r="K342" s="32" t="b">
        <f t="shared" si="10"/>
        <v>0</v>
      </c>
      <c r="L342" s="61">
        <f t="shared" si="11"/>
        <v>0</v>
      </c>
      <c r="M342" s="33"/>
      <c r="N342" s="34"/>
    </row>
    <row r="343" spans="1:14" ht="34.5" customHeight="1" x14ac:dyDescent="0.25">
      <c r="A343" s="26"/>
      <c r="B343" s="35"/>
      <c r="C343" s="27"/>
      <c r="D343" s="28"/>
      <c r="E343" s="36"/>
      <c r="F343" s="29"/>
      <c r="G343" s="30"/>
      <c r="H343" s="30"/>
      <c r="I343" s="31"/>
      <c r="J343" s="32"/>
      <c r="K343" s="32" t="b">
        <f t="shared" si="10"/>
        <v>0</v>
      </c>
      <c r="L343" s="61">
        <f t="shared" si="11"/>
        <v>0</v>
      </c>
      <c r="M343" s="33"/>
      <c r="N343" s="34"/>
    </row>
    <row r="344" spans="1:14" ht="34.5" customHeight="1" x14ac:dyDescent="0.25">
      <c r="A344" s="26"/>
      <c r="B344" s="35"/>
      <c r="C344" s="27"/>
      <c r="D344" s="28"/>
      <c r="E344" s="36"/>
      <c r="F344" s="29"/>
      <c r="G344" s="30"/>
      <c r="H344" s="30"/>
      <c r="I344" s="31"/>
      <c r="J344" s="32"/>
      <c r="K344" s="32" t="b">
        <f t="shared" si="10"/>
        <v>0</v>
      </c>
      <c r="L344" s="61">
        <f t="shared" si="11"/>
        <v>0</v>
      </c>
      <c r="M344" s="33"/>
      <c r="N344" s="34"/>
    </row>
    <row r="345" spans="1:14" ht="34.5" customHeight="1" x14ac:dyDescent="0.25">
      <c r="A345" s="26"/>
      <c r="B345" s="35"/>
      <c r="C345" s="27"/>
      <c r="D345" s="28"/>
      <c r="E345" s="36"/>
      <c r="F345" s="29"/>
      <c r="G345" s="30"/>
      <c r="H345" s="30"/>
      <c r="I345" s="31"/>
      <c r="J345" s="32"/>
      <c r="K345" s="32" t="b">
        <f t="shared" si="10"/>
        <v>0</v>
      </c>
      <c r="L345" s="61">
        <f t="shared" si="11"/>
        <v>0</v>
      </c>
      <c r="M345" s="33"/>
      <c r="N345" s="34"/>
    </row>
    <row r="346" spans="1:14" ht="34.5" customHeight="1" x14ac:dyDescent="0.25">
      <c r="A346" s="26"/>
      <c r="B346" s="35"/>
      <c r="C346" s="27"/>
      <c r="D346" s="28"/>
      <c r="E346" s="36"/>
      <c r="F346" s="29"/>
      <c r="G346" s="30"/>
      <c r="H346" s="30"/>
      <c r="I346" s="31"/>
      <c r="J346" s="32"/>
      <c r="K346" s="32" t="b">
        <f t="shared" si="10"/>
        <v>0</v>
      </c>
      <c r="L346" s="61">
        <f t="shared" si="11"/>
        <v>0</v>
      </c>
      <c r="M346" s="33"/>
      <c r="N346" s="34"/>
    </row>
    <row r="347" spans="1:14" ht="34.5" customHeight="1" x14ac:dyDescent="0.25">
      <c r="A347" s="26"/>
      <c r="B347" s="35"/>
      <c r="C347" s="27"/>
      <c r="D347" s="28"/>
      <c r="E347" s="36"/>
      <c r="F347" s="29"/>
      <c r="G347" s="30"/>
      <c r="H347" s="30"/>
      <c r="I347" s="31"/>
      <c r="J347" s="32"/>
      <c r="K347" s="32" t="b">
        <f t="shared" si="10"/>
        <v>0</v>
      </c>
      <c r="L347" s="61">
        <f t="shared" si="11"/>
        <v>0</v>
      </c>
      <c r="M347" s="33"/>
      <c r="N347" s="34"/>
    </row>
    <row r="348" spans="1:14" ht="34.5" customHeight="1" x14ac:dyDescent="0.25">
      <c r="A348" s="26"/>
      <c r="B348" s="35"/>
      <c r="C348" s="27"/>
      <c r="D348" s="28"/>
      <c r="E348" s="36"/>
      <c r="F348" s="29"/>
      <c r="G348" s="30"/>
      <c r="H348" s="30"/>
      <c r="I348" s="31"/>
      <c r="J348" s="32"/>
      <c r="K348" s="32" t="b">
        <f t="shared" si="10"/>
        <v>0</v>
      </c>
      <c r="L348" s="61">
        <f t="shared" si="11"/>
        <v>0</v>
      </c>
      <c r="M348" s="33"/>
      <c r="N348" s="34"/>
    </row>
    <row r="349" spans="1:14" ht="34.5" customHeight="1" x14ac:dyDescent="0.25">
      <c r="A349" s="26"/>
      <c r="B349" s="35"/>
      <c r="C349" s="27"/>
      <c r="D349" s="28"/>
      <c r="E349" s="36"/>
      <c r="F349" s="29"/>
      <c r="G349" s="30"/>
      <c r="H349" s="30"/>
      <c r="I349" s="31"/>
      <c r="J349" s="32"/>
      <c r="K349" s="32" t="b">
        <f t="shared" si="10"/>
        <v>0</v>
      </c>
      <c r="L349" s="61">
        <f t="shared" si="11"/>
        <v>0</v>
      </c>
      <c r="M349" s="33"/>
      <c r="N349" s="34"/>
    </row>
    <row r="350" spans="1:14" ht="34.5" customHeight="1" x14ac:dyDescent="0.25">
      <c r="A350" s="26"/>
      <c r="B350" s="35"/>
      <c r="C350" s="27"/>
      <c r="D350" s="28"/>
      <c r="E350" s="36"/>
      <c r="F350" s="29"/>
      <c r="G350" s="30"/>
      <c r="H350" s="30"/>
      <c r="I350" s="31"/>
      <c r="J350" s="32"/>
      <c r="K350" s="32" t="b">
        <f t="shared" si="10"/>
        <v>0</v>
      </c>
      <c r="L350" s="61">
        <f t="shared" si="11"/>
        <v>0</v>
      </c>
      <c r="M350" s="33"/>
      <c r="N350" s="34"/>
    </row>
    <row r="351" spans="1:14" ht="34.5" customHeight="1" x14ac:dyDescent="0.25">
      <c r="A351" s="26"/>
      <c r="B351" s="35"/>
      <c r="C351" s="27"/>
      <c r="D351" s="28"/>
      <c r="E351" s="36"/>
      <c r="F351" s="29"/>
      <c r="G351" s="30"/>
      <c r="H351" s="30"/>
      <c r="I351" s="31"/>
      <c r="J351" s="32"/>
      <c r="K351" s="32" t="b">
        <f t="shared" si="10"/>
        <v>0</v>
      </c>
      <c r="L351" s="61">
        <f t="shared" si="11"/>
        <v>0</v>
      </c>
      <c r="M351" s="33"/>
      <c r="N351" s="34"/>
    </row>
    <row r="352" spans="1:14" ht="34.5" customHeight="1" x14ac:dyDescent="0.25">
      <c r="A352" s="26"/>
      <c r="B352" s="35"/>
      <c r="C352" s="27"/>
      <c r="D352" s="28"/>
      <c r="E352" s="36"/>
      <c r="F352" s="29"/>
      <c r="G352" s="30"/>
      <c r="H352" s="30"/>
      <c r="I352" s="31"/>
      <c r="J352" s="32"/>
      <c r="K352" s="32" t="b">
        <f t="shared" si="10"/>
        <v>0</v>
      </c>
      <c r="L352" s="61">
        <f t="shared" si="11"/>
        <v>0</v>
      </c>
      <c r="M352" s="33"/>
      <c r="N352" s="34"/>
    </row>
    <row r="353" spans="1:14" ht="34.5" customHeight="1" x14ac:dyDescent="0.25">
      <c r="A353" s="26"/>
      <c r="B353" s="35"/>
      <c r="C353" s="27"/>
      <c r="D353" s="28"/>
      <c r="E353" s="36"/>
      <c r="F353" s="29"/>
      <c r="G353" s="30"/>
      <c r="H353" s="30"/>
      <c r="I353" s="31"/>
      <c r="J353" s="32"/>
      <c r="K353" s="32" t="b">
        <f t="shared" si="10"/>
        <v>0</v>
      </c>
      <c r="L353" s="61">
        <f t="shared" si="11"/>
        <v>0</v>
      </c>
      <c r="M353" s="33"/>
      <c r="N353" s="34"/>
    </row>
    <row r="354" spans="1:14" ht="34.5" customHeight="1" x14ac:dyDescent="0.25">
      <c r="A354" s="26"/>
      <c r="B354" s="35"/>
      <c r="C354" s="27"/>
      <c r="D354" s="28"/>
      <c r="E354" s="36"/>
      <c r="F354" s="29"/>
      <c r="G354" s="30"/>
      <c r="H354" s="30"/>
      <c r="I354" s="31"/>
      <c r="J354" s="32"/>
      <c r="K354" s="32" t="b">
        <f t="shared" si="10"/>
        <v>0</v>
      </c>
      <c r="L354" s="61">
        <f t="shared" si="11"/>
        <v>0</v>
      </c>
      <c r="M354" s="33"/>
      <c r="N354" s="34"/>
    </row>
    <row r="355" spans="1:14" ht="34.5" customHeight="1" x14ac:dyDescent="0.25">
      <c r="A355" s="26"/>
      <c r="B355" s="35"/>
      <c r="C355" s="27"/>
      <c r="D355" s="28"/>
      <c r="E355" s="36"/>
      <c r="F355" s="29"/>
      <c r="G355" s="30"/>
      <c r="H355" s="30"/>
      <c r="I355" s="31"/>
      <c r="J355" s="32"/>
      <c r="K355" s="32" t="b">
        <f t="shared" si="10"/>
        <v>0</v>
      </c>
      <c r="L355" s="61">
        <f t="shared" si="11"/>
        <v>0</v>
      </c>
      <c r="M355" s="33"/>
      <c r="N355" s="34"/>
    </row>
    <row r="356" spans="1:14" ht="34.5" customHeight="1" x14ac:dyDescent="0.25">
      <c r="A356" s="26"/>
      <c r="B356" s="35"/>
      <c r="C356" s="27"/>
      <c r="D356" s="28"/>
      <c r="E356" s="36"/>
      <c r="F356" s="29"/>
      <c r="G356" s="30"/>
      <c r="H356" s="30"/>
      <c r="I356" s="31"/>
      <c r="J356" s="32"/>
      <c r="K356" s="32" t="b">
        <f t="shared" si="10"/>
        <v>0</v>
      </c>
      <c r="L356" s="61">
        <f t="shared" si="11"/>
        <v>0</v>
      </c>
      <c r="M356" s="33"/>
      <c r="N356" s="34"/>
    </row>
    <row r="357" spans="1:14" ht="34.5" customHeight="1" x14ac:dyDescent="0.25">
      <c r="A357" s="26"/>
      <c r="B357" s="35"/>
      <c r="C357" s="27"/>
      <c r="D357" s="28"/>
      <c r="E357" s="36"/>
      <c r="F357" s="29"/>
      <c r="G357" s="30"/>
      <c r="H357" s="30"/>
      <c r="I357" s="31"/>
      <c r="J357" s="32"/>
      <c r="K357" s="32" t="b">
        <f t="shared" si="10"/>
        <v>0</v>
      </c>
      <c r="L357" s="61">
        <f t="shared" si="11"/>
        <v>0</v>
      </c>
      <c r="M357" s="33"/>
      <c r="N357" s="34"/>
    </row>
    <row r="358" spans="1:14" ht="34.5" customHeight="1" x14ac:dyDescent="0.25">
      <c r="A358" s="26"/>
      <c r="B358" s="35"/>
      <c r="C358" s="27"/>
      <c r="D358" s="28"/>
      <c r="E358" s="36"/>
      <c r="F358" s="29"/>
      <c r="G358" s="30"/>
      <c r="H358" s="30"/>
      <c r="I358" s="31"/>
      <c r="J358" s="32"/>
      <c r="K358" s="32" t="b">
        <f t="shared" si="10"/>
        <v>0</v>
      </c>
      <c r="L358" s="61">
        <f t="shared" si="11"/>
        <v>0</v>
      </c>
      <c r="M358" s="33"/>
      <c r="N358" s="34"/>
    </row>
    <row r="359" spans="1:14" ht="34.5" customHeight="1" x14ac:dyDescent="0.25">
      <c r="A359" s="26"/>
      <c r="B359" s="35"/>
      <c r="C359" s="27"/>
      <c r="D359" s="28"/>
      <c r="E359" s="36"/>
      <c r="F359" s="29"/>
      <c r="G359" s="30"/>
      <c r="H359" s="30"/>
      <c r="I359" s="31"/>
      <c r="J359" s="32"/>
      <c r="K359" s="32" t="b">
        <f t="shared" si="10"/>
        <v>0</v>
      </c>
      <c r="L359" s="61">
        <f t="shared" si="11"/>
        <v>0</v>
      </c>
      <c r="M359" s="33"/>
      <c r="N359" s="34"/>
    </row>
    <row r="360" spans="1:14" ht="34.5" customHeight="1" x14ac:dyDescent="0.25">
      <c r="A360" s="26"/>
      <c r="B360" s="35"/>
      <c r="C360" s="27"/>
      <c r="D360" s="28"/>
      <c r="E360" s="36"/>
      <c r="F360" s="29"/>
      <c r="G360" s="30"/>
      <c r="H360" s="30"/>
      <c r="I360" s="31"/>
      <c r="J360" s="32"/>
      <c r="K360" s="32" t="b">
        <f t="shared" si="10"/>
        <v>0</v>
      </c>
      <c r="L360" s="61">
        <f t="shared" si="11"/>
        <v>0</v>
      </c>
      <c r="M360" s="33"/>
      <c r="N360" s="34"/>
    </row>
    <row r="361" spans="1:14" ht="34.5" customHeight="1" x14ac:dyDescent="0.25">
      <c r="A361" s="26"/>
      <c r="B361" s="35"/>
      <c r="C361" s="27"/>
      <c r="D361" s="28"/>
      <c r="E361" s="36"/>
      <c r="F361" s="29"/>
      <c r="G361" s="30"/>
      <c r="H361" s="30"/>
      <c r="I361" s="31"/>
      <c r="J361" s="32"/>
      <c r="K361" s="32" t="b">
        <f t="shared" si="10"/>
        <v>0</v>
      </c>
      <c r="L361" s="61">
        <f t="shared" si="11"/>
        <v>0</v>
      </c>
      <c r="M361" s="33"/>
      <c r="N361" s="34"/>
    </row>
    <row r="362" spans="1:14" ht="34.5" customHeight="1" x14ac:dyDescent="0.25">
      <c r="A362" s="26"/>
      <c r="B362" s="35"/>
      <c r="C362" s="27"/>
      <c r="D362" s="28"/>
      <c r="E362" s="36"/>
      <c r="F362" s="29"/>
      <c r="G362" s="30"/>
      <c r="H362" s="30"/>
      <c r="I362" s="31"/>
      <c r="J362" s="32"/>
      <c r="K362" s="32" t="b">
        <f t="shared" si="10"/>
        <v>0</v>
      </c>
      <c r="L362" s="61">
        <f t="shared" si="11"/>
        <v>0</v>
      </c>
      <c r="M362" s="33"/>
      <c r="N362" s="34"/>
    </row>
    <row r="363" spans="1:14" ht="34.5" customHeight="1" x14ac:dyDescent="0.25">
      <c r="A363" s="26"/>
      <c r="B363" s="35"/>
      <c r="C363" s="27"/>
      <c r="D363" s="28"/>
      <c r="E363" s="36"/>
      <c r="F363" s="29"/>
      <c r="G363" s="30"/>
      <c r="H363" s="30"/>
      <c r="I363" s="31"/>
      <c r="J363" s="32"/>
      <c r="K363" s="32" t="b">
        <f t="shared" si="10"/>
        <v>0</v>
      </c>
      <c r="L363" s="61">
        <f t="shared" si="11"/>
        <v>0</v>
      </c>
      <c r="M363" s="33"/>
      <c r="N363" s="34"/>
    </row>
    <row r="364" spans="1:14" ht="34.5" customHeight="1" x14ac:dyDescent="0.25">
      <c r="A364" s="26"/>
      <c r="B364" s="35"/>
      <c r="C364" s="27"/>
      <c r="D364" s="28"/>
      <c r="E364" s="36"/>
      <c r="F364" s="29"/>
      <c r="G364" s="30"/>
      <c r="H364" s="30"/>
      <c r="I364" s="31"/>
      <c r="J364" s="32"/>
      <c r="K364" s="32" t="b">
        <f t="shared" si="10"/>
        <v>0</v>
      </c>
      <c r="L364" s="61">
        <f t="shared" si="11"/>
        <v>0</v>
      </c>
      <c r="M364" s="33"/>
      <c r="N364" s="34"/>
    </row>
    <row r="365" spans="1:14" ht="34.5" customHeight="1" x14ac:dyDescent="0.25">
      <c r="A365" s="26"/>
      <c r="B365" s="35"/>
      <c r="C365" s="27"/>
      <c r="D365" s="28"/>
      <c r="E365" s="36"/>
      <c r="F365" s="29"/>
      <c r="G365" s="30"/>
      <c r="H365" s="30"/>
      <c r="I365" s="31"/>
      <c r="J365" s="32"/>
      <c r="K365" s="32" t="b">
        <f t="shared" si="10"/>
        <v>0</v>
      </c>
      <c r="L365" s="61">
        <f t="shared" si="11"/>
        <v>0</v>
      </c>
      <c r="M365" s="33"/>
      <c r="N365" s="34"/>
    </row>
    <row r="366" spans="1:14" ht="34.5" customHeight="1" x14ac:dyDescent="0.25">
      <c r="A366" s="26"/>
      <c r="B366" s="35"/>
      <c r="C366" s="27"/>
      <c r="D366" s="28"/>
      <c r="E366" s="36"/>
      <c r="F366" s="29"/>
      <c r="G366" s="30"/>
      <c r="H366" s="30"/>
      <c r="I366" s="31"/>
      <c r="J366" s="32"/>
      <c r="K366" s="32" t="b">
        <f t="shared" si="10"/>
        <v>0</v>
      </c>
      <c r="L366" s="61">
        <f t="shared" si="11"/>
        <v>0</v>
      </c>
      <c r="M366" s="33"/>
      <c r="N366" s="34"/>
    </row>
    <row r="367" spans="1:14" ht="34.5" customHeight="1" x14ac:dyDescent="0.25">
      <c r="A367" s="26"/>
      <c r="B367" s="35"/>
      <c r="C367" s="27"/>
      <c r="D367" s="28"/>
      <c r="E367" s="36"/>
      <c r="F367" s="29"/>
      <c r="G367" s="30"/>
      <c r="H367" s="30"/>
      <c r="I367" s="31"/>
      <c r="J367" s="32"/>
      <c r="K367" s="32" t="b">
        <f t="shared" si="10"/>
        <v>0</v>
      </c>
      <c r="L367" s="61">
        <f t="shared" si="11"/>
        <v>0</v>
      </c>
      <c r="M367" s="33"/>
      <c r="N367" s="34"/>
    </row>
    <row r="368" spans="1:14" ht="34.5" customHeight="1" x14ac:dyDescent="0.25">
      <c r="A368" s="26"/>
      <c r="B368" s="35"/>
      <c r="C368" s="27"/>
      <c r="D368" s="28"/>
      <c r="E368" s="36"/>
      <c r="F368" s="29"/>
      <c r="G368" s="30"/>
      <c r="H368" s="30"/>
      <c r="I368" s="31"/>
      <c r="J368" s="32"/>
      <c r="K368" s="32" t="b">
        <f t="shared" si="10"/>
        <v>0</v>
      </c>
      <c r="L368" s="61">
        <f t="shared" si="11"/>
        <v>0</v>
      </c>
      <c r="M368" s="33"/>
      <c r="N368" s="34"/>
    </row>
    <row r="369" spans="1:14" ht="34.5" customHeight="1" x14ac:dyDescent="0.25">
      <c r="A369" s="26"/>
      <c r="B369" s="35"/>
      <c r="C369" s="27"/>
      <c r="D369" s="28"/>
      <c r="E369" s="29"/>
      <c r="F369" s="29"/>
      <c r="G369" s="30"/>
      <c r="H369" s="30"/>
      <c r="I369" s="31"/>
      <c r="J369" s="32"/>
      <c r="K369" s="32" t="b">
        <f t="shared" si="10"/>
        <v>0</v>
      </c>
      <c r="L369" s="61">
        <f t="shared" si="11"/>
        <v>0</v>
      </c>
      <c r="M369" s="33"/>
      <c r="N369" s="34"/>
    </row>
    <row r="370" spans="1:14" ht="34.5" customHeight="1" x14ac:dyDescent="0.25">
      <c r="A370" s="26"/>
      <c r="B370" s="35"/>
      <c r="C370" s="27"/>
      <c r="D370" s="28"/>
      <c r="E370" s="29"/>
      <c r="F370" s="29"/>
      <c r="G370" s="30"/>
      <c r="H370" s="30"/>
      <c r="I370" s="31"/>
      <c r="J370" s="32"/>
      <c r="K370" s="32" t="b">
        <f t="shared" si="10"/>
        <v>0</v>
      </c>
      <c r="L370" s="61">
        <f t="shared" si="11"/>
        <v>0</v>
      </c>
      <c r="M370" s="33"/>
      <c r="N370" s="34"/>
    </row>
    <row r="371" spans="1:14" ht="34.5" customHeight="1" x14ac:dyDescent="0.25">
      <c r="A371" s="26"/>
      <c r="B371" s="35"/>
      <c r="C371" s="27"/>
      <c r="D371" s="28"/>
      <c r="E371" s="29"/>
      <c r="F371" s="29"/>
      <c r="G371" s="30"/>
      <c r="H371" s="30"/>
      <c r="I371" s="31"/>
      <c r="J371" s="32"/>
      <c r="K371" s="32" t="b">
        <f t="shared" si="10"/>
        <v>0</v>
      </c>
      <c r="L371" s="61">
        <f t="shared" si="11"/>
        <v>0</v>
      </c>
      <c r="M371" s="33"/>
      <c r="N371" s="34"/>
    </row>
    <row r="372" spans="1:14" ht="34.5" customHeight="1" x14ac:dyDescent="0.25">
      <c r="A372" s="26"/>
      <c r="B372" s="35"/>
      <c r="C372" s="27"/>
      <c r="D372" s="28"/>
      <c r="E372" s="29"/>
      <c r="F372" s="29"/>
      <c r="G372" s="30"/>
      <c r="H372" s="30"/>
      <c r="I372" s="31"/>
      <c r="J372" s="32"/>
      <c r="K372" s="32" t="b">
        <f t="shared" si="10"/>
        <v>0</v>
      </c>
      <c r="L372" s="61">
        <f t="shared" si="11"/>
        <v>0</v>
      </c>
      <c r="M372" s="33"/>
      <c r="N372" s="34"/>
    </row>
    <row r="373" spans="1:14" ht="34.5" customHeight="1" x14ac:dyDescent="0.25">
      <c r="A373" s="26"/>
      <c r="B373" s="35"/>
      <c r="C373" s="27"/>
      <c r="D373" s="28"/>
      <c r="E373" s="29"/>
      <c r="F373" s="29"/>
      <c r="G373" s="30"/>
      <c r="H373" s="30"/>
      <c r="I373" s="31"/>
      <c r="J373" s="32"/>
      <c r="K373" s="32" t="b">
        <f t="shared" si="10"/>
        <v>0</v>
      </c>
      <c r="L373" s="61">
        <f t="shared" si="11"/>
        <v>0</v>
      </c>
      <c r="M373" s="33"/>
      <c r="N373" s="34"/>
    </row>
    <row r="374" spans="1:14" ht="34.5" customHeight="1" x14ac:dyDescent="0.25">
      <c r="A374" s="26"/>
      <c r="B374" s="35"/>
      <c r="C374" s="27"/>
      <c r="D374" s="28"/>
      <c r="E374" s="29"/>
      <c r="F374" s="29"/>
      <c r="G374" s="30"/>
      <c r="H374" s="30"/>
      <c r="I374" s="31"/>
      <c r="J374" s="32"/>
      <c r="K374" s="32" t="b">
        <f t="shared" si="10"/>
        <v>0</v>
      </c>
      <c r="L374" s="61">
        <f t="shared" si="11"/>
        <v>0</v>
      </c>
      <c r="M374" s="33"/>
      <c r="N374" s="34"/>
    </row>
    <row r="375" spans="1:14" ht="34.5" customHeight="1" x14ac:dyDescent="0.25">
      <c r="A375" s="26"/>
      <c r="B375" s="35"/>
      <c r="C375" s="27"/>
      <c r="D375" s="28"/>
      <c r="E375" s="29"/>
      <c r="F375" s="29"/>
      <c r="G375" s="30"/>
      <c r="H375" s="30"/>
      <c r="I375" s="31"/>
      <c r="J375" s="32"/>
      <c r="K375" s="32" t="b">
        <f t="shared" si="10"/>
        <v>0</v>
      </c>
      <c r="L375" s="61">
        <f t="shared" si="11"/>
        <v>0</v>
      </c>
      <c r="M375" s="33"/>
      <c r="N375" s="34"/>
    </row>
    <row r="376" spans="1:14" ht="34.5" customHeight="1" x14ac:dyDescent="0.25">
      <c r="A376" s="26"/>
      <c r="B376" s="35"/>
      <c r="C376" s="27"/>
      <c r="D376" s="28"/>
      <c r="E376" s="29"/>
      <c r="F376" s="29"/>
      <c r="G376" s="30"/>
      <c r="H376" s="30"/>
      <c r="I376" s="31"/>
      <c r="J376" s="32"/>
      <c r="K376" s="32" t="b">
        <f t="shared" si="10"/>
        <v>0</v>
      </c>
      <c r="L376" s="61">
        <f t="shared" si="11"/>
        <v>0</v>
      </c>
      <c r="M376" s="33"/>
      <c r="N376" s="34"/>
    </row>
    <row r="377" spans="1:14" ht="34.5" customHeight="1" x14ac:dyDescent="0.25">
      <c r="A377" s="26"/>
      <c r="B377" s="35"/>
      <c r="C377" s="27"/>
      <c r="D377" s="28"/>
      <c r="E377" s="29"/>
      <c r="F377" s="29"/>
      <c r="G377" s="30"/>
      <c r="H377" s="30"/>
      <c r="I377" s="31"/>
      <c r="J377" s="32"/>
      <c r="K377" s="32" t="b">
        <f t="shared" si="10"/>
        <v>0</v>
      </c>
      <c r="L377" s="61">
        <f t="shared" si="11"/>
        <v>0</v>
      </c>
      <c r="M377" s="33"/>
      <c r="N377" s="34"/>
    </row>
    <row r="378" spans="1:14" ht="34.5" customHeight="1" x14ac:dyDescent="0.25">
      <c r="A378" s="26"/>
      <c r="B378" s="35"/>
      <c r="C378" s="27"/>
      <c r="D378" s="28"/>
      <c r="E378" s="29"/>
      <c r="F378" s="29"/>
      <c r="G378" s="30"/>
      <c r="H378" s="30"/>
      <c r="I378" s="31"/>
      <c r="J378" s="32"/>
      <c r="K378" s="32" t="b">
        <f t="shared" si="10"/>
        <v>0</v>
      </c>
      <c r="L378" s="61">
        <f t="shared" si="11"/>
        <v>0</v>
      </c>
      <c r="M378" s="33"/>
      <c r="N378" s="34"/>
    </row>
    <row r="379" spans="1:14" ht="34.5" customHeight="1" x14ac:dyDescent="0.25">
      <c r="A379" s="26"/>
      <c r="B379" s="35"/>
      <c r="C379" s="27"/>
      <c r="D379" s="28"/>
      <c r="E379" s="29"/>
      <c r="F379" s="29"/>
      <c r="G379" s="30"/>
      <c r="H379" s="30"/>
      <c r="I379" s="31"/>
      <c r="J379" s="32"/>
      <c r="K379" s="32" t="b">
        <f t="shared" si="10"/>
        <v>0</v>
      </c>
      <c r="L379" s="61">
        <f t="shared" si="11"/>
        <v>0</v>
      </c>
      <c r="M379" s="33"/>
      <c r="N379" s="34"/>
    </row>
    <row r="380" spans="1:14" ht="34.5" customHeight="1" x14ac:dyDescent="0.25">
      <c r="A380" s="26"/>
      <c r="B380" s="35"/>
      <c r="C380" s="27"/>
      <c r="D380" s="28"/>
      <c r="E380" s="29"/>
      <c r="F380" s="29"/>
      <c r="G380" s="30"/>
      <c r="H380" s="30"/>
      <c r="I380" s="31"/>
      <c r="J380" s="32"/>
      <c r="K380" s="32" t="b">
        <f t="shared" si="10"/>
        <v>0</v>
      </c>
      <c r="L380" s="61">
        <f t="shared" si="11"/>
        <v>0</v>
      </c>
      <c r="M380" s="33"/>
      <c r="N380" s="34"/>
    </row>
    <row r="381" spans="1:14" ht="34.5" customHeight="1" x14ac:dyDescent="0.25">
      <c r="A381" s="26"/>
      <c r="B381" s="35"/>
      <c r="C381" s="27"/>
      <c r="D381" s="28"/>
      <c r="E381" s="29"/>
      <c r="F381" s="29"/>
      <c r="G381" s="30"/>
      <c r="H381" s="30"/>
      <c r="I381" s="31"/>
      <c r="J381" s="32"/>
      <c r="K381" s="32" t="b">
        <f t="shared" si="10"/>
        <v>0</v>
      </c>
      <c r="L381" s="61">
        <f t="shared" si="11"/>
        <v>0</v>
      </c>
      <c r="M381" s="33"/>
      <c r="N381" s="34"/>
    </row>
    <row r="382" spans="1:14" ht="34.5" customHeight="1" x14ac:dyDescent="0.25">
      <c r="A382" s="26"/>
      <c r="B382" s="35"/>
      <c r="C382" s="27"/>
      <c r="D382" s="28"/>
      <c r="E382" s="29"/>
      <c r="F382" s="29"/>
      <c r="G382" s="30"/>
      <c r="H382" s="30"/>
      <c r="I382" s="31"/>
      <c r="J382" s="32"/>
      <c r="K382" s="32" t="b">
        <f t="shared" si="10"/>
        <v>0</v>
      </c>
      <c r="L382" s="61">
        <f t="shared" si="11"/>
        <v>0</v>
      </c>
      <c r="M382" s="33"/>
      <c r="N382" s="34"/>
    </row>
    <row r="383" spans="1:14" ht="34.5" customHeight="1" x14ac:dyDescent="0.25">
      <c r="A383" s="26"/>
      <c r="B383" s="35"/>
      <c r="C383" s="27"/>
      <c r="D383" s="28"/>
      <c r="E383" s="29"/>
      <c r="F383" s="29"/>
      <c r="G383" s="30"/>
      <c r="H383" s="30"/>
      <c r="I383" s="31"/>
      <c r="J383" s="32"/>
      <c r="K383" s="32" t="b">
        <f t="shared" si="10"/>
        <v>0</v>
      </c>
      <c r="L383" s="61">
        <f t="shared" si="11"/>
        <v>0</v>
      </c>
      <c r="M383" s="33"/>
      <c r="N383" s="34"/>
    </row>
    <row r="384" spans="1:14" ht="34.5" customHeight="1" x14ac:dyDescent="0.25">
      <c r="A384" s="26"/>
      <c r="B384" s="35"/>
      <c r="C384" s="27"/>
      <c r="D384" s="28"/>
      <c r="E384" s="29"/>
      <c r="F384" s="29"/>
      <c r="G384" s="30"/>
      <c r="H384" s="30"/>
      <c r="I384" s="31"/>
      <c r="J384" s="32"/>
      <c r="K384" s="32" t="b">
        <f t="shared" si="10"/>
        <v>0</v>
      </c>
      <c r="L384" s="61">
        <f t="shared" si="11"/>
        <v>0</v>
      </c>
      <c r="M384" s="33"/>
      <c r="N384" s="34"/>
    </row>
    <row r="385" spans="1:14" ht="34.5" customHeight="1" x14ac:dyDescent="0.25">
      <c r="A385" s="26"/>
      <c r="B385" s="35"/>
      <c r="C385" s="27"/>
      <c r="D385" s="28"/>
      <c r="E385" s="29"/>
      <c r="F385" s="29"/>
      <c r="G385" s="30"/>
      <c r="H385" s="30"/>
      <c r="I385" s="31"/>
      <c r="J385" s="32"/>
      <c r="K385" s="32" t="b">
        <f t="shared" si="10"/>
        <v>0</v>
      </c>
      <c r="L385" s="61">
        <f t="shared" si="11"/>
        <v>0</v>
      </c>
      <c r="M385" s="33"/>
      <c r="N385" s="34"/>
    </row>
    <row r="386" spans="1:14" ht="34.5" customHeight="1" x14ac:dyDescent="0.25">
      <c r="A386" s="26"/>
      <c r="B386" s="35"/>
      <c r="C386" s="27"/>
      <c r="D386" s="28"/>
      <c r="E386" s="29"/>
      <c r="F386" s="29"/>
      <c r="G386" s="30"/>
      <c r="H386" s="30"/>
      <c r="I386" s="31"/>
      <c r="J386" s="32"/>
      <c r="K386" s="32" t="b">
        <f t="shared" si="10"/>
        <v>0</v>
      </c>
      <c r="L386" s="61">
        <f t="shared" si="11"/>
        <v>0</v>
      </c>
      <c r="M386" s="33"/>
      <c r="N386" s="34"/>
    </row>
    <row r="387" spans="1:14" ht="34.5" customHeight="1" x14ac:dyDescent="0.25">
      <c r="A387" s="26"/>
      <c r="B387" s="35"/>
      <c r="C387" s="27"/>
      <c r="D387" s="28"/>
      <c r="E387" s="29"/>
      <c r="F387" s="29"/>
      <c r="G387" s="30"/>
      <c r="H387" s="30"/>
      <c r="I387" s="31"/>
      <c r="J387" s="32"/>
      <c r="K387" s="32" t="b">
        <f t="shared" si="10"/>
        <v>0</v>
      </c>
      <c r="L387" s="61">
        <f t="shared" si="11"/>
        <v>0</v>
      </c>
      <c r="M387" s="33"/>
      <c r="N387" s="34"/>
    </row>
    <row r="388" spans="1:14" ht="34.5" customHeight="1" x14ac:dyDescent="0.25">
      <c r="A388" s="26"/>
      <c r="B388" s="35"/>
      <c r="C388" s="27"/>
      <c r="D388" s="28"/>
      <c r="E388" s="29"/>
      <c r="F388" s="29"/>
      <c r="G388" s="30"/>
      <c r="H388" s="30"/>
      <c r="I388" s="31"/>
      <c r="J388" s="32"/>
      <c r="K388" s="32" t="b">
        <f t="shared" si="10"/>
        <v>0</v>
      </c>
      <c r="L388" s="61">
        <f t="shared" si="11"/>
        <v>0</v>
      </c>
      <c r="M388" s="33"/>
      <c r="N388" s="34"/>
    </row>
    <row r="389" spans="1:14" ht="34.5" customHeight="1" x14ac:dyDescent="0.25">
      <c r="A389" s="26"/>
      <c r="B389" s="35"/>
      <c r="C389" s="27"/>
      <c r="D389" s="28"/>
      <c r="E389" s="29"/>
      <c r="F389" s="29"/>
      <c r="G389" s="30"/>
      <c r="H389" s="30"/>
      <c r="I389" s="31"/>
      <c r="J389" s="32"/>
      <c r="K389" s="32" t="b">
        <f t="shared" ref="K389:K452" si="12">IF(J389="b","0,6",IF(J389="r","0,2",IF(J389="o",0.8)))</f>
        <v>0</v>
      </c>
      <c r="L389" s="61">
        <f t="shared" ref="L389:L452" si="13">K389*I389</f>
        <v>0</v>
      </c>
      <c r="M389" s="33"/>
      <c r="N389" s="34"/>
    </row>
    <row r="390" spans="1:14" ht="34.5" customHeight="1" x14ac:dyDescent="0.25">
      <c r="A390" s="26"/>
      <c r="B390" s="35"/>
      <c r="C390" s="27"/>
      <c r="D390" s="28"/>
      <c r="E390" s="29"/>
      <c r="F390" s="29"/>
      <c r="G390" s="30"/>
      <c r="H390" s="30"/>
      <c r="I390" s="31"/>
      <c r="J390" s="32"/>
      <c r="K390" s="32" t="b">
        <f t="shared" si="12"/>
        <v>0</v>
      </c>
      <c r="L390" s="61">
        <f t="shared" si="13"/>
        <v>0</v>
      </c>
      <c r="M390" s="33"/>
      <c r="N390" s="34"/>
    </row>
    <row r="391" spans="1:14" ht="34.5" customHeight="1" x14ac:dyDescent="0.25">
      <c r="A391" s="26"/>
      <c r="B391" s="35"/>
      <c r="C391" s="27"/>
      <c r="D391" s="28"/>
      <c r="E391" s="29"/>
      <c r="F391" s="29"/>
      <c r="G391" s="30"/>
      <c r="H391" s="30"/>
      <c r="I391" s="31"/>
      <c r="J391" s="32"/>
      <c r="K391" s="32" t="b">
        <f t="shared" si="12"/>
        <v>0</v>
      </c>
      <c r="L391" s="61">
        <f t="shared" si="13"/>
        <v>0</v>
      </c>
      <c r="M391" s="33"/>
      <c r="N391" s="34"/>
    </row>
    <row r="392" spans="1:14" ht="34.5" customHeight="1" x14ac:dyDescent="0.25">
      <c r="A392" s="26"/>
      <c r="B392" s="35"/>
      <c r="C392" s="27"/>
      <c r="D392" s="28"/>
      <c r="E392" s="29"/>
      <c r="F392" s="29"/>
      <c r="G392" s="30"/>
      <c r="H392" s="30"/>
      <c r="I392" s="31"/>
      <c r="J392" s="32"/>
      <c r="K392" s="32" t="b">
        <f t="shared" si="12"/>
        <v>0</v>
      </c>
      <c r="L392" s="61">
        <f t="shared" si="13"/>
        <v>0</v>
      </c>
      <c r="M392" s="33"/>
      <c r="N392" s="34"/>
    </row>
    <row r="393" spans="1:14" ht="34.5" customHeight="1" x14ac:dyDescent="0.25">
      <c r="A393" s="26"/>
      <c r="B393" s="35"/>
      <c r="C393" s="27"/>
      <c r="D393" s="28"/>
      <c r="E393" s="29"/>
      <c r="F393" s="29"/>
      <c r="G393" s="30"/>
      <c r="H393" s="30"/>
      <c r="I393" s="31"/>
      <c r="J393" s="32"/>
      <c r="K393" s="32" t="b">
        <f t="shared" si="12"/>
        <v>0</v>
      </c>
      <c r="L393" s="61">
        <f t="shared" si="13"/>
        <v>0</v>
      </c>
      <c r="M393" s="33"/>
      <c r="N393" s="34"/>
    </row>
    <row r="394" spans="1:14" ht="34.5" customHeight="1" x14ac:dyDescent="0.25">
      <c r="A394" s="26"/>
      <c r="B394" s="35"/>
      <c r="C394" s="27"/>
      <c r="D394" s="28"/>
      <c r="E394" s="29"/>
      <c r="F394" s="29"/>
      <c r="G394" s="30"/>
      <c r="H394" s="30"/>
      <c r="I394" s="31"/>
      <c r="J394" s="32"/>
      <c r="K394" s="32" t="b">
        <f t="shared" si="12"/>
        <v>0</v>
      </c>
      <c r="L394" s="61">
        <f t="shared" si="13"/>
        <v>0</v>
      </c>
      <c r="M394" s="33"/>
      <c r="N394" s="34"/>
    </row>
    <row r="395" spans="1:14" ht="34.5" customHeight="1" x14ac:dyDescent="0.25">
      <c r="A395" s="26"/>
      <c r="B395" s="35"/>
      <c r="C395" s="27"/>
      <c r="D395" s="28"/>
      <c r="E395" s="29"/>
      <c r="F395" s="29"/>
      <c r="G395" s="30"/>
      <c r="H395" s="30"/>
      <c r="I395" s="31"/>
      <c r="J395" s="32"/>
      <c r="K395" s="32" t="b">
        <f t="shared" si="12"/>
        <v>0</v>
      </c>
      <c r="L395" s="61">
        <f t="shared" si="13"/>
        <v>0</v>
      </c>
      <c r="M395" s="33"/>
      <c r="N395" s="34"/>
    </row>
    <row r="396" spans="1:14" ht="34.5" customHeight="1" x14ac:dyDescent="0.25">
      <c r="A396" s="26"/>
      <c r="B396" s="35"/>
      <c r="C396" s="27"/>
      <c r="D396" s="28"/>
      <c r="E396" s="29"/>
      <c r="F396" s="29"/>
      <c r="G396" s="30"/>
      <c r="H396" s="30"/>
      <c r="I396" s="31"/>
      <c r="J396" s="32"/>
      <c r="K396" s="32" t="b">
        <f t="shared" si="12"/>
        <v>0</v>
      </c>
      <c r="L396" s="61">
        <f t="shared" si="13"/>
        <v>0</v>
      </c>
      <c r="M396" s="33"/>
      <c r="N396" s="34"/>
    </row>
    <row r="397" spans="1:14" ht="34.5" customHeight="1" x14ac:dyDescent="0.25">
      <c r="A397" s="26"/>
      <c r="B397" s="35"/>
      <c r="C397" s="27"/>
      <c r="D397" s="28"/>
      <c r="E397" s="29"/>
      <c r="F397" s="29"/>
      <c r="G397" s="30"/>
      <c r="H397" s="30"/>
      <c r="I397" s="31"/>
      <c r="J397" s="32"/>
      <c r="K397" s="32" t="b">
        <f t="shared" si="12"/>
        <v>0</v>
      </c>
      <c r="L397" s="61">
        <f t="shared" si="13"/>
        <v>0</v>
      </c>
      <c r="M397" s="33"/>
      <c r="N397" s="34"/>
    </row>
    <row r="398" spans="1:14" ht="34.5" customHeight="1" x14ac:dyDescent="0.25">
      <c r="A398" s="26"/>
      <c r="B398" s="35"/>
      <c r="C398" s="27"/>
      <c r="D398" s="28"/>
      <c r="E398" s="29"/>
      <c r="F398" s="29"/>
      <c r="G398" s="30"/>
      <c r="H398" s="30"/>
      <c r="I398" s="31"/>
      <c r="J398" s="32"/>
      <c r="K398" s="32" t="b">
        <f t="shared" si="12"/>
        <v>0</v>
      </c>
      <c r="L398" s="61">
        <f t="shared" si="13"/>
        <v>0</v>
      </c>
      <c r="M398" s="33"/>
      <c r="N398" s="34"/>
    </row>
    <row r="399" spans="1:14" ht="34.5" customHeight="1" x14ac:dyDescent="0.25">
      <c r="A399" s="26"/>
      <c r="B399" s="35"/>
      <c r="C399" s="27"/>
      <c r="D399" s="28"/>
      <c r="E399" s="29"/>
      <c r="F399" s="29"/>
      <c r="G399" s="30"/>
      <c r="H399" s="30"/>
      <c r="I399" s="31"/>
      <c r="J399" s="32"/>
      <c r="K399" s="32" t="b">
        <f t="shared" si="12"/>
        <v>0</v>
      </c>
      <c r="L399" s="61">
        <f t="shared" si="13"/>
        <v>0</v>
      </c>
      <c r="M399" s="33"/>
      <c r="N399" s="34"/>
    </row>
    <row r="400" spans="1:14" ht="34.5" customHeight="1" x14ac:dyDescent="0.25">
      <c r="A400" s="26"/>
      <c r="B400" s="35"/>
      <c r="C400" s="27"/>
      <c r="D400" s="28"/>
      <c r="E400" s="29"/>
      <c r="F400" s="29"/>
      <c r="G400" s="30"/>
      <c r="H400" s="30"/>
      <c r="I400" s="31"/>
      <c r="J400" s="32"/>
      <c r="K400" s="32" t="b">
        <f t="shared" si="12"/>
        <v>0</v>
      </c>
      <c r="L400" s="61">
        <f t="shared" si="13"/>
        <v>0</v>
      </c>
      <c r="M400" s="33"/>
      <c r="N400" s="34"/>
    </row>
    <row r="401" spans="1:14" ht="34.5" customHeight="1" x14ac:dyDescent="0.25">
      <c r="A401" s="26"/>
      <c r="B401" s="35"/>
      <c r="C401" s="27"/>
      <c r="D401" s="28"/>
      <c r="E401" s="29"/>
      <c r="F401" s="29"/>
      <c r="G401" s="30"/>
      <c r="H401" s="30"/>
      <c r="I401" s="31"/>
      <c r="J401" s="32"/>
      <c r="K401" s="32" t="b">
        <f t="shared" si="12"/>
        <v>0</v>
      </c>
      <c r="L401" s="61">
        <f t="shared" si="13"/>
        <v>0</v>
      </c>
      <c r="M401" s="33"/>
      <c r="N401" s="34"/>
    </row>
    <row r="402" spans="1:14" ht="34.5" customHeight="1" x14ac:dyDescent="0.25">
      <c r="A402" s="26"/>
      <c r="B402" s="35"/>
      <c r="C402" s="27"/>
      <c r="D402" s="28"/>
      <c r="E402" s="29"/>
      <c r="F402" s="29"/>
      <c r="G402" s="30"/>
      <c r="H402" s="30"/>
      <c r="I402" s="31"/>
      <c r="J402" s="32"/>
      <c r="K402" s="32" t="b">
        <f t="shared" si="12"/>
        <v>0</v>
      </c>
      <c r="L402" s="61">
        <f t="shared" si="13"/>
        <v>0</v>
      </c>
      <c r="M402" s="33"/>
      <c r="N402" s="34"/>
    </row>
    <row r="403" spans="1:14" ht="34.5" customHeight="1" x14ac:dyDescent="0.25">
      <c r="A403" s="26"/>
      <c r="B403" s="35"/>
      <c r="C403" s="27"/>
      <c r="D403" s="28"/>
      <c r="E403" s="29"/>
      <c r="F403" s="29"/>
      <c r="G403" s="30"/>
      <c r="H403" s="30"/>
      <c r="I403" s="31"/>
      <c r="J403" s="32"/>
      <c r="K403" s="32" t="b">
        <f t="shared" si="12"/>
        <v>0</v>
      </c>
      <c r="L403" s="61">
        <f t="shared" si="13"/>
        <v>0</v>
      </c>
      <c r="M403" s="33"/>
      <c r="N403" s="34"/>
    </row>
    <row r="404" spans="1:14" ht="34.5" customHeight="1" x14ac:dyDescent="0.25">
      <c r="A404" s="26"/>
      <c r="B404" s="35"/>
      <c r="C404" s="27"/>
      <c r="D404" s="28"/>
      <c r="E404" s="29"/>
      <c r="F404" s="29"/>
      <c r="G404" s="30"/>
      <c r="H404" s="30"/>
      <c r="I404" s="31"/>
      <c r="J404" s="32"/>
      <c r="K404" s="32" t="b">
        <f t="shared" si="12"/>
        <v>0</v>
      </c>
      <c r="L404" s="61">
        <f t="shared" si="13"/>
        <v>0</v>
      </c>
      <c r="M404" s="33"/>
      <c r="N404" s="34"/>
    </row>
    <row r="405" spans="1:14" ht="34.5" customHeight="1" x14ac:dyDescent="0.25">
      <c r="A405" s="26"/>
      <c r="B405" s="35"/>
      <c r="C405" s="27"/>
      <c r="D405" s="28"/>
      <c r="E405" s="29"/>
      <c r="F405" s="29"/>
      <c r="G405" s="30"/>
      <c r="H405" s="30"/>
      <c r="I405" s="31"/>
      <c r="J405" s="32"/>
      <c r="K405" s="32" t="b">
        <f t="shared" si="12"/>
        <v>0</v>
      </c>
      <c r="L405" s="61">
        <f t="shared" si="13"/>
        <v>0</v>
      </c>
      <c r="M405" s="33"/>
      <c r="N405" s="34"/>
    </row>
    <row r="406" spans="1:14" ht="34.5" customHeight="1" x14ac:dyDescent="0.25">
      <c r="A406" s="26"/>
      <c r="B406" s="35"/>
      <c r="C406" s="27"/>
      <c r="D406" s="28"/>
      <c r="E406" s="29"/>
      <c r="F406" s="29"/>
      <c r="G406" s="30"/>
      <c r="H406" s="30"/>
      <c r="I406" s="31"/>
      <c r="J406" s="32"/>
      <c r="K406" s="32" t="b">
        <f t="shared" si="12"/>
        <v>0</v>
      </c>
      <c r="L406" s="61">
        <f t="shared" si="13"/>
        <v>0</v>
      </c>
      <c r="M406" s="33"/>
      <c r="N406" s="34"/>
    </row>
    <row r="407" spans="1:14" ht="34.5" customHeight="1" x14ac:dyDescent="0.25">
      <c r="A407" s="26"/>
      <c r="B407" s="35"/>
      <c r="C407" s="27"/>
      <c r="D407" s="28"/>
      <c r="E407" s="29"/>
      <c r="F407" s="29"/>
      <c r="G407" s="30"/>
      <c r="H407" s="30"/>
      <c r="I407" s="31"/>
      <c r="J407" s="32"/>
      <c r="K407" s="32" t="b">
        <f t="shared" si="12"/>
        <v>0</v>
      </c>
      <c r="L407" s="61">
        <f t="shared" si="13"/>
        <v>0</v>
      </c>
      <c r="M407" s="33"/>
      <c r="N407" s="34"/>
    </row>
    <row r="408" spans="1:14" ht="34.5" customHeight="1" x14ac:dyDescent="0.25">
      <c r="A408" s="26"/>
      <c r="B408" s="35"/>
      <c r="C408" s="27"/>
      <c r="D408" s="28"/>
      <c r="E408" s="29"/>
      <c r="F408" s="29"/>
      <c r="G408" s="30"/>
      <c r="H408" s="30"/>
      <c r="I408" s="31"/>
      <c r="J408" s="32"/>
      <c r="K408" s="32" t="b">
        <f t="shared" si="12"/>
        <v>0</v>
      </c>
      <c r="L408" s="61">
        <f t="shared" si="13"/>
        <v>0</v>
      </c>
      <c r="M408" s="33"/>
      <c r="N408" s="34"/>
    </row>
    <row r="409" spans="1:14" ht="34.5" customHeight="1" x14ac:dyDescent="0.25">
      <c r="A409" s="26"/>
      <c r="B409" s="35"/>
      <c r="C409" s="27"/>
      <c r="D409" s="28"/>
      <c r="E409" s="29"/>
      <c r="F409" s="29"/>
      <c r="G409" s="30"/>
      <c r="H409" s="30"/>
      <c r="I409" s="31"/>
      <c r="J409" s="32"/>
      <c r="K409" s="32" t="b">
        <f t="shared" si="12"/>
        <v>0</v>
      </c>
      <c r="L409" s="61">
        <f t="shared" si="13"/>
        <v>0</v>
      </c>
      <c r="M409" s="33"/>
      <c r="N409" s="34"/>
    </row>
    <row r="410" spans="1:14" ht="34.5" customHeight="1" x14ac:dyDescent="0.25">
      <c r="A410" s="26"/>
      <c r="B410" s="35"/>
      <c r="C410" s="27"/>
      <c r="D410" s="28"/>
      <c r="E410" s="29"/>
      <c r="F410" s="29"/>
      <c r="G410" s="30"/>
      <c r="H410" s="30"/>
      <c r="I410" s="31"/>
      <c r="J410" s="32"/>
      <c r="K410" s="32" t="b">
        <f t="shared" si="12"/>
        <v>0</v>
      </c>
      <c r="L410" s="61">
        <f t="shared" si="13"/>
        <v>0</v>
      </c>
      <c r="M410" s="33"/>
      <c r="N410" s="34"/>
    </row>
    <row r="411" spans="1:14" ht="34.5" customHeight="1" x14ac:dyDescent="0.25">
      <c r="A411" s="26"/>
      <c r="B411" s="35"/>
      <c r="C411" s="27"/>
      <c r="D411" s="28"/>
      <c r="E411" s="29"/>
      <c r="F411" s="29"/>
      <c r="G411" s="30"/>
      <c r="H411" s="30"/>
      <c r="I411" s="31"/>
      <c r="J411" s="32"/>
      <c r="K411" s="32" t="b">
        <f t="shared" si="12"/>
        <v>0</v>
      </c>
      <c r="L411" s="61">
        <f t="shared" si="13"/>
        <v>0</v>
      </c>
      <c r="M411" s="33"/>
      <c r="N411" s="34"/>
    </row>
    <row r="412" spans="1:14" ht="34.5" customHeight="1" x14ac:dyDescent="0.25">
      <c r="A412" s="26"/>
      <c r="B412" s="35"/>
      <c r="C412" s="27"/>
      <c r="D412" s="28"/>
      <c r="E412" s="29"/>
      <c r="F412" s="29"/>
      <c r="G412" s="30"/>
      <c r="H412" s="30"/>
      <c r="I412" s="31"/>
      <c r="J412" s="32"/>
      <c r="K412" s="32" t="b">
        <f t="shared" si="12"/>
        <v>0</v>
      </c>
      <c r="L412" s="61">
        <f t="shared" si="13"/>
        <v>0</v>
      </c>
      <c r="M412" s="33"/>
      <c r="N412" s="34"/>
    </row>
    <row r="413" spans="1:14" ht="34.5" customHeight="1" x14ac:dyDescent="0.25">
      <c r="A413" s="26"/>
      <c r="B413" s="35"/>
      <c r="C413" s="27"/>
      <c r="D413" s="28"/>
      <c r="E413" s="29"/>
      <c r="F413" s="29"/>
      <c r="G413" s="30"/>
      <c r="H413" s="30"/>
      <c r="I413" s="31"/>
      <c r="J413" s="32"/>
      <c r="K413" s="32" t="b">
        <f t="shared" si="12"/>
        <v>0</v>
      </c>
      <c r="L413" s="61">
        <f t="shared" si="13"/>
        <v>0</v>
      </c>
      <c r="M413" s="33"/>
      <c r="N413" s="34"/>
    </row>
    <row r="414" spans="1:14" ht="34.5" customHeight="1" x14ac:dyDescent="0.25">
      <c r="A414" s="26"/>
      <c r="B414" s="35"/>
      <c r="C414" s="27"/>
      <c r="D414" s="28"/>
      <c r="E414" s="29"/>
      <c r="F414" s="29"/>
      <c r="G414" s="30"/>
      <c r="H414" s="30"/>
      <c r="I414" s="31"/>
      <c r="J414" s="32"/>
      <c r="K414" s="32" t="b">
        <f t="shared" si="12"/>
        <v>0</v>
      </c>
      <c r="L414" s="61">
        <f t="shared" si="13"/>
        <v>0</v>
      </c>
      <c r="M414" s="33"/>
      <c r="N414" s="34"/>
    </row>
    <row r="415" spans="1:14" ht="34.5" customHeight="1" x14ac:dyDescent="0.25">
      <c r="A415" s="26"/>
      <c r="B415" s="35"/>
      <c r="C415" s="27"/>
      <c r="D415" s="28"/>
      <c r="E415" s="29"/>
      <c r="F415" s="29"/>
      <c r="G415" s="30"/>
      <c r="H415" s="30"/>
      <c r="I415" s="31"/>
      <c r="J415" s="32"/>
      <c r="K415" s="32" t="b">
        <f t="shared" si="12"/>
        <v>0</v>
      </c>
      <c r="L415" s="61">
        <f t="shared" si="13"/>
        <v>0</v>
      </c>
      <c r="M415" s="33"/>
      <c r="N415" s="34"/>
    </row>
    <row r="416" spans="1:14" ht="34.5" customHeight="1" x14ac:dyDescent="0.25">
      <c r="A416" s="26"/>
      <c r="B416" s="35"/>
      <c r="C416" s="27"/>
      <c r="D416" s="28"/>
      <c r="E416" s="29"/>
      <c r="F416" s="29"/>
      <c r="G416" s="30"/>
      <c r="H416" s="30"/>
      <c r="I416" s="31"/>
      <c r="J416" s="32"/>
      <c r="K416" s="32" t="b">
        <f t="shared" si="12"/>
        <v>0</v>
      </c>
      <c r="L416" s="61">
        <f t="shared" si="13"/>
        <v>0</v>
      </c>
      <c r="M416" s="33"/>
      <c r="N416" s="34"/>
    </row>
    <row r="417" spans="1:14" ht="34.5" customHeight="1" x14ac:dyDescent="0.25">
      <c r="A417" s="26"/>
      <c r="B417" s="35"/>
      <c r="C417" s="27"/>
      <c r="D417" s="28"/>
      <c r="E417" s="29"/>
      <c r="F417" s="29"/>
      <c r="G417" s="30"/>
      <c r="H417" s="30"/>
      <c r="I417" s="31"/>
      <c r="J417" s="32"/>
      <c r="K417" s="32" t="b">
        <f t="shared" si="12"/>
        <v>0</v>
      </c>
      <c r="L417" s="61">
        <f t="shared" si="13"/>
        <v>0</v>
      </c>
      <c r="M417" s="33"/>
      <c r="N417" s="34"/>
    </row>
    <row r="418" spans="1:14" ht="34.5" customHeight="1" x14ac:dyDescent="0.25">
      <c r="A418" s="26"/>
      <c r="B418" s="35"/>
      <c r="C418" s="27"/>
      <c r="D418" s="28"/>
      <c r="E418" s="29"/>
      <c r="F418" s="29"/>
      <c r="G418" s="30"/>
      <c r="H418" s="30"/>
      <c r="I418" s="31"/>
      <c r="J418" s="32"/>
      <c r="K418" s="32" t="b">
        <f t="shared" si="12"/>
        <v>0</v>
      </c>
      <c r="L418" s="61">
        <f t="shared" si="13"/>
        <v>0</v>
      </c>
      <c r="M418" s="33"/>
      <c r="N418" s="34"/>
    </row>
    <row r="419" spans="1:14" ht="34.5" customHeight="1" x14ac:dyDescent="0.25">
      <c r="A419" s="26"/>
      <c r="B419" s="35"/>
      <c r="C419" s="27"/>
      <c r="D419" s="28"/>
      <c r="E419" s="29"/>
      <c r="F419" s="29"/>
      <c r="G419" s="30"/>
      <c r="H419" s="30"/>
      <c r="I419" s="31"/>
      <c r="J419" s="32"/>
      <c r="K419" s="32" t="b">
        <f t="shared" si="12"/>
        <v>0</v>
      </c>
      <c r="L419" s="61">
        <f t="shared" si="13"/>
        <v>0</v>
      </c>
      <c r="M419" s="33"/>
      <c r="N419" s="34"/>
    </row>
    <row r="420" spans="1:14" ht="34.5" customHeight="1" x14ac:dyDescent="0.25">
      <c r="A420" s="26"/>
      <c r="B420" s="35"/>
      <c r="C420" s="27"/>
      <c r="D420" s="28"/>
      <c r="E420" s="29"/>
      <c r="F420" s="29"/>
      <c r="G420" s="30"/>
      <c r="H420" s="30"/>
      <c r="I420" s="31"/>
      <c r="J420" s="32"/>
      <c r="K420" s="32" t="b">
        <f t="shared" si="12"/>
        <v>0</v>
      </c>
      <c r="L420" s="61">
        <f t="shared" si="13"/>
        <v>0</v>
      </c>
      <c r="M420" s="33"/>
      <c r="N420" s="34"/>
    </row>
    <row r="421" spans="1:14" ht="34.5" customHeight="1" x14ac:dyDescent="0.25">
      <c r="A421" s="26"/>
      <c r="B421" s="35"/>
      <c r="C421" s="27"/>
      <c r="D421" s="28"/>
      <c r="E421" s="29"/>
      <c r="F421" s="29"/>
      <c r="G421" s="30"/>
      <c r="H421" s="30"/>
      <c r="I421" s="31"/>
      <c r="J421" s="32"/>
      <c r="K421" s="32" t="b">
        <f t="shared" si="12"/>
        <v>0</v>
      </c>
      <c r="L421" s="61">
        <f t="shared" si="13"/>
        <v>0</v>
      </c>
      <c r="M421" s="33"/>
      <c r="N421" s="34"/>
    </row>
    <row r="422" spans="1:14" ht="34.5" customHeight="1" x14ac:dyDescent="0.25">
      <c r="A422" s="26"/>
      <c r="B422" s="35"/>
      <c r="C422" s="27"/>
      <c r="D422" s="28"/>
      <c r="E422" s="29"/>
      <c r="F422" s="29"/>
      <c r="G422" s="30"/>
      <c r="H422" s="30"/>
      <c r="I422" s="31"/>
      <c r="J422" s="32"/>
      <c r="K422" s="32" t="b">
        <f t="shared" si="12"/>
        <v>0</v>
      </c>
      <c r="L422" s="61">
        <f t="shared" si="13"/>
        <v>0</v>
      </c>
      <c r="M422" s="33"/>
      <c r="N422" s="34"/>
    </row>
    <row r="423" spans="1:14" ht="34.5" customHeight="1" x14ac:dyDescent="0.25">
      <c r="A423" s="26"/>
      <c r="B423" s="35"/>
      <c r="C423" s="27"/>
      <c r="D423" s="28"/>
      <c r="E423" s="29"/>
      <c r="F423" s="29"/>
      <c r="G423" s="30"/>
      <c r="H423" s="30"/>
      <c r="I423" s="31"/>
      <c r="J423" s="32"/>
      <c r="K423" s="32" t="b">
        <f t="shared" si="12"/>
        <v>0</v>
      </c>
      <c r="L423" s="61">
        <f t="shared" si="13"/>
        <v>0</v>
      </c>
      <c r="M423" s="33"/>
      <c r="N423" s="34"/>
    </row>
    <row r="424" spans="1:14" ht="34.5" customHeight="1" x14ac:dyDescent="0.25">
      <c r="A424" s="26"/>
      <c r="B424" s="35"/>
      <c r="C424" s="27"/>
      <c r="D424" s="28"/>
      <c r="E424" s="29"/>
      <c r="F424" s="29"/>
      <c r="G424" s="30"/>
      <c r="H424" s="30"/>
      <c r="I424" s="31"/>
      <c r="J424" s="32"/>
      <c r="K424" s="32" t="b">
        <f t="shared" si="12"/>
        <v>0</v>
      </c>
      <c r="L424" s="61">
        <f t="shared" si="13"/>
        <v>0</v>
      </c>
      <c r="M424" s="33"/>
      <c r="N424" s="34"/>
    </row>
    <row r="425" spans="1:14" ht="34.5" customHeight="1" x14ac:dyDescent="0.25">
      <c r="A425" s="26"/>
      <c r="B425" s="35"/>
      <c r="C425" s="27"/>
      <c r="D425" s="28"/>
      <c r="E425" s="29"/>
      <c r="F425" s="29"/>
      <c r="G425" s="30"/>
      <c r="H425" s="30"/>
      <c r="I425" s="31"/>
      <c r="J425" s="32"/>
      <c r="K425" s="32" t="b">
        <f t="shared" si="12"/>
        <v>0</v>
      </c>
      <c r="L425" s="61">
        <f t="shared" si="13"/>
        <v>0</v>
      </c>
      <c r="M425" s="33"/>
      <c r="N425" s="34"/>
    </row>
    <row r="426" spans="1:14" ht="34.5" customHeight="1" x14ac:dyDescent="0.25">
      <c r="A426" s="26"/>
      <c r="B426" s="35"/>
      <c r="C426" s="27"/>
      <c r="D426" s="28"/>
      <c r="E426" s="29"/>
      <c r="F426" s="29"/>
      <c r="G426" s="30"/>
      <c r="H426" s="30"/>
      <c r="I426" s="31"/>
      <c r="J426" s="32"/>
      <c r="K426" s="32" t="b">
        <f t="shared" si="12"/>
        <v>0</v>
      </c>
      <c r="L426" s="61">
        <f t="shared" si="13"/>
        <v>0</v>
      </c>
      <c r="M426" s="33"/>
      <c r="N426" s="34"/>
    </row>
    <row r="427" spans="1:14" ht="34.5" customHeight="1" x14ac:dyDescent="0.25">
      <c r="A427" s="26"/>
      <c r="B427" s="35"/>
      <c r="C427" s="27"/>
      <c r="D427" s="28"/>
      <c r="E427" s="29"/>
      <c r="F427" s="29"/>
      <c r="G427" s="30"/>
      <c r="H427" s="30"/>
      <c r="I427" s="31"/>
      <c r="J427" s="32"/>
      <c r="K427" s="32" t="b">
        <f t="shared" si="12"/>
        <v>0</v>
      </c>
      <c r="L427" s="61">
        <f t="shared" si="13"/>
        <v>0</v>
      </c>
      <c r="M427" s="33"/>
      <c r="N427" s="34"/>
    </row>
    <row r="428" spans="1:14" ht="34.5" customHeight="1" x14ac:dyDescent="0.25">
      <c r="A428" s="26"/>
      <c r="B428" s="35"/>
      <c r="C428" s="27"/>
      <c r="D428" s="28"/>
      <c r="E428" s="29"/>
      <c r="F428" s="29"/>
      <c r="G428" s="30"/>
      <c r="H428" s="30"/>
      <c r="I428" s="31"/>
      <c r="J428" s="32"/>
      <c r="K428" s="32" t="b">
        <f t="shared" si="12"/>
        <v>0</v>
      </c>
      <c r="L428" s="61">
        <f t="shared" si="13"/>
        <v>0</v>
      </c>
      <c r="M428" s="33"/>
      <c r="N428" s="34"/>
    </row>
    <row r="429" spans="1:14" ht="34.5" customHeight="1" x14ac:dyDescent="0.25">
      <c r="A429" s="26"/>
      <c r="B429" s="35"/>
      <c r="C429" s="27"/>
      <c r="D429" s="28"/>
      <c r="E429" s="29"/>
      <c r="F429" s="29"/>
      <c r="G429" s="30"/>
      <c r="H429" s="30"/>
      <c r="I429" s="31"/>
      <c r="J429" s="32"/>
      <c r="K429" s="32" t="b">
        <f t="shared" si="12"/>
        <v>0</v>
      </c>
      <c r="L429" s="61">
        <f t="shared" si="13"/>
        <v>0</v>
      </c>
      <c r="M429" s="33"/>
      <c r="N429" s="34"/>
    </row>
    <row r="430" spans="1:14" ht="34.5" customHeight="1" x14ac:dyDescent="0.25">
      <c r="A430" s="26"/>
      <c r="B430" s="35"/>
      <c r="C430" s="27"/>
      <c r="D430" s="28"/>
      <c r="E430" s="29"/>
      <c r="F430" s="29"/>
      <c r="G430" s="30"/>
      <c r="H430" s="30"/>
      <c r="I430" s="31"/>
      <c r="J430" s="32"/>
      <c r="K430" s="32" t="b">
        <f t="shared" si="12"/>
        <v>0</v>
      </c>
      <c r="L430" s="61">
        <f t="shared" si="13"/>
        <v>0</v>
      </c>
      <c r="M430" s="33"/>
      <c r="N430" s="34"/>
    </row>
    <row r="431" spans="1:14" ht="34.5" customHeight="1" x14ac:dyDescent="0.25">
      <c r="A431" s="26"/>
      <c r="B431" s="35"/>
      <c r="C431" s="27"/>
      <c r="D431" s="28"/>
      <c r="E431" s="29"/>
      <c r="F431" s="29"/>
      <c r="G431" s="30"/>
      <c r="H431" s="30"/>
      <c r="I431" s="31"/>
      <c r="J431" s="32"/>
      <c r="K431" s="32" t="b">
        <f t="shared" si="12"/>
        <v>0</v>
      </c>
      <c r="L431" s="61">
        <f t="shared" si="13"/>
        <v>0</v>
      </c>
      <c r="M431" s="33"/>
      <c r="N431" s="34"/>
    </row>
    <row r="432" spans="1:14" ht="34.5" customHeight="1" x14ac:dyDescent="0.25">
      <c r="A432" s="26"/>
      <c r="B432" s="35"/>
      <c r="C432" s="27"/>
      <c r="D432" s="28"/>
      <c r="E432" s="29"/>
      <c r="F432" s="29"/>
      <c r="G432" s="30"/>
      <c r="H432" s="30"/>
      <c r="I432" s="31"/>
      <c r="J432" s="32"/>
      <c r="K432" s="32" t="b">
        <f t="shared" si="12"/>
        <v>0</v>
      </c>
      <c r="L432" s="61">
        <f t="shared" si="13"/>
        <v>0</v>
      </c>
      <c r="M432" s="33"/>
      <c r="N432" s="34"/>
    </row>
    <row r="433" spans="1:14" ht="34.5" customHeight="1" x14ac:dyDescent="0.25">
      <c r="A433" s="26"/>
      <c r="B433" s="35"/>
      <c r="C433" s="27"/>
      <c r="D433" s="28"/>
      <c r="E433" s="29"/>
      <c r="F433" s="29"/>
      <c r="G433" s="30"/>
      <c r="H433" s="30"/>
      <c r="I433" s="31"/>
      <c r="J433" s="32"/>
      <c r="K433" s="32" t="b">
        <f t="shared" si="12"/>
        <v>0</v>
      </c>
      <c r="L433" s="61">
        <f t="shared" si="13"/>
        <v>0</v>
      </c>
      <c r="M433" s="33"/>
      <c r="N433" s="34"/>
    </row>
    <row r="434" spans="1:14" ht="34.5" customHeight="1" x14ac:dyDescent="0.25">
      <c r="A434" s="26"/>
      <c r="B434" s="35"/>
      <c r="C434" s="27"/>
      <c r="D434" s="28"/>
      <c r="E434" s="29"/>
      <c r="F434" s="29"/>
      <c r="G434" s="30"/>
      <c r="H434" s="30"/>
      <c r="I434" s="31"/>
      <c r="J434" s="32"/>
      <c r="K434" s="32" t="b">
        <f t="shared" si="12"/>
        <v>0</v>
      </c>
      <c r="L434" s="61">
        <f t="shared" si="13"/>
        <v>0</v>
      </c>
      <c r="M434" s="33"/>
      <c r="N434" s="34"/>
    </row>
    <row r="435" spans="1:14" ht="34.5" customHeight="1" x14ac:dyDescent="0.25">
      <c r="A435" s="26"/>
      <c r="B435" s="35"/>
      <c r="C435" s="27"/>
      <c r="D435" s="28"/>
      <c r="E435" s="29"/>
      <c r="F435" s="29"/>
      <c r="G435" s="30"/>
      <c r="H435" s="30"/>
      <c r="I435" s="31"/>
      <c r="J435" s="32"/>
      <c r="K435" s="32" t="b">
        <f t="shared" si="12"/>
        <v>0</v>
      </c>
      <c r="L435" s="61">
        <f t="shared" si="13"/>
        <v>0</v>
      </c>
      <c r="M435" s="33"/>
      <c r="N435" s="34"/>
    </row>
    <row r="436" spans="1:14" ht="34.5" customHeight="1" x14ac:dyDescent="0.25">
      <c r="A436" s="26"/>
      <c r="B436" s="35"/>
      <c r="C436" s="27"/>
      <c r="D436" s="28"/>
      <c r="E436" s="29"/>
      <c r="F436" s="29"/>
      <c r="G436" s="30"/>
      <c r="H436" s="30"/>
      <c r="I436" s="31"/>
      <c r="J436" s="32"/>
      <c r="K436" s="32" t="b">
        <f t="shared" si="12"/>
        <v>0</v>
      </c>
      <c r="L436" s="61">
        <f t="shared" si="13"/>
        <v>0</v>
      </c>
      <c r="M436" s="33"/>
      <c r="N436" s="34"/>
    </row>
    <row r="437" spans="1:14" ht="34.5" customHeight="1" x14ac:dyDescent="0.25">
      <c r="A437" s="26"/>
      <c r="B437" s="35"/>
      <c r="C437" s="27"/>
      <c r="D437" s="28"/>
      <c r="E437" s="29"/>
      <c r="F437" s="29"/>
      <c r="G437" s="30"/>
      <c r="H437" s="30"/>
      <c r="I437" s="31"/>
      <c r="J437" s="32"/>
      <c r="K437" s="32" t="b">
        <f t="shared" si="12"/>
        <v>0</v>
      </c>
      <c r="L437" s="61">
        <f t="shared" si="13"/>
        <v>0</v>
      </c>
      <c r="M437" s="33"/>
      <c r="N437" s="34"/>
    </row>
    <row r="438" spans="1:14" ht="34.5" customHeight="1" x14ac:dyDescent="0.25">
      <c r="A438" s="26"/>
      <c r="B438" s="35"/>
      <c r="C438" s="27"/>
      <c r="D438" s="28"/>
      <c r="E438" s="29"/>
      <c r="F438" s="29"/>
      <c r="G438" s="30"/>
      <c r="H438" s="30"/>
      <c r="I438" s="31"/>
      <c r="J438" s="32"/>
      <c r="K438" s="32" t="b">
        <f t="shared" si="12"/>
        <v>0</v>
      </c>
      <c r="L438" s="61">
        <f t="shared" si="13"/>
        <v>0</v>
      </c>
      <c r="M438" s="33"/>
      <c r="N438" s="34"/>
    </row>
    <row r="439" spans="1:14" ht="34.5" customHeight="1" x14ac:dyDescent="0.25">
      <c r="A439" s="26"/>
      <c r="B439" s="35"/>
      <c r="C439" s="27"/>
      <c r="D439" s="28"/>
      <c r="E439" s="29"/>
      <c r="F439" s="29"/>
      <c r="G439" s="30"/>
      <c r="H439" s="30"/>
      <c r="I439" s="31"/>
      <c r="J439" s="32"/>
      <c r="K439" s="32" t="b">
        <f t="shared" si="12"/>
        <v>0</v>
      </c>
      <c r="L439" s="61">
        <f t="shared" si="13"/>
        <v>0</v>
      </c>
      <c r="M439" s="33"/>
      <c r="N439" s="34"/>
    </row>
    <row r="440" spans="1:14" ht="34.5" customHeight="1" x14ac:dyDescent="0.25">
      <c r="A440" s="26"/>
      <c r="B440" s="35"/>
      <c r="C440" s="27"/>
      <c r="D440" s="28"/>
      <c r="E440" s="29"/>
      <c r="F440" s="29"/>
      <c r="G440" s="30"/>
      <c r="H440" s="30"/>
      <c r="I440" s="31"/>
      <c r="J440" s="32"/>
      <c r="K440" s="32" t="b">
        <f t="shared" si="12"/>
        <v>0</v>
      </c>
      <c r="L440" s="61">
        <f t="shared" si="13"/>
        <v>0</v>
      </c>
      <c r="M440" s="33"/>
      <c r="N440" s="34"/>
    </row>
    <row r="441" spans="1:14" ht="34.5" customHeight="1" x14ac:dyDescent="0.25">
      <c r="A441" s="26"/>
      <c r="B441" s="35"/>
      <c r="C441" s="27"/>
      <c r="D441" s="28"/>
      <c r="E441" s="29"/>
      <c r="F441" s="29"/>
      <c r="G441" s="30"/>
      <c r="H441" s="30"/>
      <c r="I441" s="31"/>
      <c r="J441" s="32"/>
      <c r="K441" s="32" t="b">
        <f t="shared" si="12"/>
        <v>0</v>
      </c>
      <c r="L441" s="61">
        <f t="shared" si="13"/>
        <v>0</v>
      </c>
      <c r="M441" s="33"/>
      <c r="N441" s="34"/>
    </row>
    <row r="442" spans="1:14" ht="34.5" customHeight="1" x14ac:dyDescent="0.25">
      <c r="A442" s="26"/>
      <c r="B442" s="35"/>
      <c r="C442" s="27"/>
      <c r="D442" s="28"/>
      <c r="E442" s="29"/>
      <c r="F442" s="29"/>
      <c r="G442" s="30"/>
      <c r="H442" s="30"/>
      <c r="I442" s="31"/>
      <c r="J442" s="32"/>
      <c r="K442" s="32" t="b">
        <f t="shared" si="12"/>
        <v>0</v>
      </c>
      <c r="L442" s="61">
        <f t="shared" si="13"/>
        <v>0</v>
      </c>
      <c r="M442" s="33"/>
      <c r="N442" s="34"/>
    </row>
    <row r="443" spans="1:14" ht="34.5" customHeight="1" x14ac:dyDescent="0.25">
      <c r="A443" s="26"/>
      <c r="B443" s="35"/>
      <c r="C443" s="27"/>
      <c r="D443" s="28"/>
      <c r="E443" s="29"/>
      <c r="F443" s="29"/>
      <c r="G443" s="30"/>
      <c r="H443" s="30"/>
      <c r="I443" s="31"/>
      <c r="J443" s="32"/>
      <c r="K443" s="32" t="b">
        <f t="shared" si="12"/>
        <v>0</v>
      </c>
      <c r="L443" s="61">
        <f t="shared" si="13"/>
        <v>0</v>
      </c>
      <c r="M443" s="33"/>
      <c r="N443" s="34"/>
    </row>
    <row r="444" spans="1:14" ht="34.5" customHeight="1" x14ac:dyDescent="0.25">
      <c r="A444" s="26"/>
      <c r="B444" s="35"/>
      <c r="C444" s="27"/>
      <c r="D444" s="28"/>
      <c r="E444" s="29"/>
      <c r="F444" s="29"/>
      <c r="G444" s="30"/>
      <c r="H444" s="30"/>
      <c r="I444" s="31"/>
      <c r="J444" s="32"/>
      <c r="K444" s="32" t="b">
        <f t="shared" si="12"/>
        <v>0</v>
      </c>
      <c r="L444" s="61">
        <f t="shared" si="13"/>
        <v>0</v>
      </c>
      <c r="M444" s="33"/>
      <c r="N444" s="34"/>
    </row>
    <row r="445" spans="1:14" ht="34.5" customHeight="1" x14ac:dyDescent="0.25">
      <c r="A445" s="26"/>
      <c r="B445" s="35"/>
      <c r="C445" s="27"/>
      <c r="D445" s="28"/>
      <c r="E445" s="29"/>
      <c r="F445" s="29"/>
      <c r="G445" s="30"/>
      <c r="H445" s="30"/>
      <c r="I445" s="31"/>
      <c r="J445" s="32"/>
      <c r="K445" s="32" t="b">
        <f t="shared" si="12"/>
        <v>0</v>
      </c>
      <c r="L445" s="61">
        <f t="shared" si="13"/>
        <v>0</v>
      </c>
      <c r="M445" s="33"/>
      <c r="N445" s="34"/>
    </row>
    <row r="446" spans="1:14" ht="34.5" customHeight="1" x14ac:dyDescent="0.25">
      <c r="A446" s="26"/>
      <c r="B446" s="35"/>
      <c r="C446" s="27"/>
      <c r="D446" s="28"/>
      <c r="E446" s="29"/>
      <c r="F446" s="29"/>
      <c r="G446" s="30"/>
      <c r="H446" s="30"/>
      <c r="I446" s="31"/>
      <c r="J446" s="32"/>
      <c r="K446" s="32" t="b">
        <f t="shared" si="12"/>
        <v>0</v>
      </c>
      <c r="L446" s="61">
        <f t="shared" si="13"/>
        <v>0</v>
      </c>
      <c r="M446" s="33"/>
      <c r="N446" s="34"/>
    </row>
    <row r="447" spans="1:14" ht="34.5" customHeight="1" x14ac:dyDescent="0.25">
      <c r="A447" s="26"/>
      <c r="B447" s="35"/>
      <c r="C447" s="27"/>
      <c r="D447" s="28"/>
      <c r="E447" s="29"/>
      <c r="F447" s="29"/>
      <c r="G447" s="30"/>
      <c r="H447" s="30"/>
      <c r="I447" s="31"/>
      <c r="J447" s="32"/>
      <c r="K447" s="32" t="b">
        <f t="shared" si="12"/>
        <v>0</v>
      </c>
      <c r="L447" s="61">
        <f t="shared" si="13"/>
        <v>0</v>
      </c>
      <c r="M447" s="33"/>
      <c r="N447" s="34"/>
    </row>
    <row r="448" spans="1:14" ht="34.5" customHeight="1" x14ac:dyDescent="0.25">
      <c r="A448" s="26"/>
      <c r="B448" s="35"/>
      <c r="C448" s="27"/>
      <c r="D448" s="28"/>
      <c r="E448" s="29"/>
      <c r="F448" s="29"/>
      <c r="G448" s="30"/>
      <c r="H448" s="30"/>
      <c r="I448" s="31"/>
      <c r="J448" s="32"/>
      <c r="K448" s="32" t="b">
        <f t="shared" si="12"/>
        <v>0</v>
      </c>
      <c r="L448" s="61">
        <f t="shared" si="13"/>
        <v>0</v>
      </c>
      <c r="M448" s="33"/>
      <c r="N448" s="34"/>
    </row>
    <row r="449" spans="1:14" ht="34.5" customHeight="1" x14ac:dyDescent="0.25">
      <c r="A449" s="26"/>
      <c r="B449" s="35"/>
      <c r="C449" s="27"/>
      <c r="D449" s="28"/>
      <c r="E449" s="29"/>
      <c r="F449" s="29"/>
      <c r="G449" s="30"/>
      <c r="H449" s="30"/>
      <c r="I449" s="31"/>
      <c r="J449" s="32"/>
      <c r="K449" s="32" t="b">
        <f t="shared" si="12"/>
        <v>0</v>
      </c>
      <c r="L449" s="61">
        <f t="shared" si="13"/>
        <v>0</v>
      </c>
      <c r="M449" s="33"/>
      <c r="N449" s="34"/>
    </row>
    <row r="450" spans="1:14" ht="34.5" customHeight="1" x14ac:dyDescent="0.25">
      <c r="A450" s="26"/>
      <c r="B450" s="35"/>
      <c r="C450" s="27"/>
      <c r="D450" s="28"/>
      <c r="E450" s="29"/>
      <c r="F450" s="29"/>
      <c r="G450" s="30"/>
      <c r="H450" s="30"/>
      <c r="I450" s="31"/>
      <c r="J450" s="32"/>
      <c r="K450" s="32" t="b">
        <f t="shared" si="12"/>
        <v>0</v>
      </c>
      <c r="L450" s="61">
        <f t="shared" si="13"/>
        <v>0</v>
      </c>
      <c r="M450" s="33"/>
      <c r="N450" s="34"/>
    </row>
    <row r="451" spans="1:14" ht="34.5" customHeight="1" x14ac:dyDescent="0.25">
      <c r="A451" s="26"/>
      <c r="B451" s="35"/>
      <c r="C451" s="27"/>
      <c r="D451" s="28"/>
      <c r="E451" s="29"/>
      <c r="F451" s="29"/>
      <c r="G451" s="30"/>
      <c r="H451" s="30"/>
      <c r="I451" s="31"/>
      <c r="J451" s="32"/>
      <c r="K451" s="32" t="b">
        <f t="shared" si="12"/>
        <v>0</v>
      </c>
      <c r="L451" s="61">
        <f t="shared" si="13"/>
        <v>0</v>
      </c>
      <c r="M451" s="33"/>
      <c r="N451" s="34"/>
    </row>
    <row r="452" spans="1:14" ht="34.5" customHeight="1" x14ac:dyDescent="0.25">
      <c r="A452" s="26"/>
      <c r="B452" s="35"/>
      <c r="C452" s="27"/>
      <c r="D452" s="28"/>
      <c r="E452" s="29"/>
      <c r="F452" s="29"/>
      <c r="G452" s="30"/>
      <c r="H452" s="30"/>
      <c r="I452" s="31"/>
      <c r="J452" s="32"/>
      <c r="K452" s="32" t="b">
        <f t="shared" si="12"/>
        <v>0</v>
      </c>
      <c r="L452" s="61">
        <f t="shared" si="13"/>
        <v>0</v>
      </c>
      <c r="M452" s="33"/>
      <c r="N452" s="34"/>
    </row>
    <row r="453" spans="1:14" ht="34.5" customHeight="1" x14ac:dyDescent="0.25">
      <c r="A453" s="26"/>
      <c r="B453" s="35"/>
      <c r="C453" s="27"/>
      <c r="D453" s="28"/>
      <c r="E453" s="29"/>
      <c r="F453" s="29"/>
      <c r="G453" s="30"/>
      <c r="H453" s="30"/>
      <c r="I453" s="31"/>
      <c r="J453" s="32"/>
      <c r="K453" s="32" t="b">
        <f t="shared" ref="K453:K516" si="14">IF(J453="b","0,6",IF(J453="r","0,2",IF(J453="o",0.8)))</f>
        <v>0</v>
      </c>
      <c r="L453" s="61">
        <f t="shared" ref="L453:L516" si="15">K453*I453</f>
        <v>0</v>
      </c>
      <c r="M453" s="33"/>
      <c r="N453" s="34"/>
    </row>
    <row r="454" spans="1:14" ht="34.5" customHeight="1" x14ac:dyDescent="0.25">
      <c r="A454" s="26"/>
      <c r="B454" s="35"/>
      <c r="C454" s="27"/>
      <c r="D454" s="28"/>
      <c r="E454" s="29"/>
      <c r="F454" s="29"/>
      <c r="G454" s="30"/>
      <c r="H454" s="30"/>
      <c r="I454" s="31"/>
      <c r="J454" s="32"/>
      <c r="K454" s="32" t="b">
        <f t="shared" si="14"/>
        <v>0</v>
      </c>
      <c r="L454" s="61">
        <f t="shared" si="15"/>
        <v>0</v>
      </c>
      <c r="M454" s="33"/>
      <c r="N454" s="34"/>
    </row>
    <row r="455" spans="1:14" ht="34.5" customHeight="1" x14ac:dyDescent="0.25">
      <c r="A455" s="26"/>
      <c r="B455" s="35"/>
      <c r="C455" s="27"/>
      <c r="D455" s="28"/>
      <c r="E455" s="29"/>
      <c r="F455" s="29"/>
      <c r="G455" s="30"/>
      <c r="H455" s="30"/>
      <c r="I455" s="31"/>
      <c r="J455" s="32"/>
      <c r="K455" s="32" t="b">
        <f t="shared" si="14"/>
        <v>0</v>
      </c>
      <c r="L455" s="61">
        <f t="shared" si="15"/>
        <v>0</v>
      </c>
      <c r="M455" s="33"/>
      <c r="N455" s="34"/>
    </row>
    <row r="456" spans="1:14" ht="34.5" customHeight="1" x14ac:dyDescent="0.25">
      <c r="A456" s="26"/>
      <c r="B456" s="35"/>
      <c r="C456" s="27"/>
      <c r="D456" s="28"/>
      <c r="E456" s="29"/>
      <c r="F456" s="29"/>
      <c r="G456" s="30"/>
      <c r="H456" s="30"/>
      <c r="I456" s="31"/>
      <c r="J456" s="32"/>
      <c r="K456" s="32" t="b">
        <f t="shared" si="14"/>
        <v>0</v>
      </c>
      <c r="L456" s="61">
        <f t="shared" si="15"/>
        <v>0</v>
      </c>
      <c r="M456" s="33"/>
      <c r="N456" s="34"/>
    </row>
    <row r="457" spans="1:14" ht="34.5" customHeight="1" x14ac:dyDescent="0.25">
      <c r="A457" s="26"/>
      <c r="B457" s="35"/>
      <c r="C457" s="27"/>
      <c r="D457" s="28"/>
      <c r="E457" s="29"/>
      <c r="F457" s="29"/>
      <c r="G457" s="30"/>
      <c r="H457" s="30"/>
      <c r="I457" s="31"/>
      <c r="J457" s="32"/>
      <c r="K457" s="32" t="b">
        <f t="shared" si="14"/>
        <v>0</v>
      </c>
      <c r="L457" s="61">
        <f t="shared" si="15"/>
        <v>0</v>
      </c>
      <c r="M457" s="33"/>
      <c r="N457" s="34"/>
    </row>
    <row r="458" spans="1:14" ht="34.5" customHeight="1" x14ac:dyDescent="0.25">
      <c r="A458" s="26"/>
      <c r="B458" s="35"/>
      <c r="C458" s="27"/>
      <c r="D458" s="28"/>
      <c r="E458" s="29"/>
      <c r="F458" s="29"/>
      <c r="G458" s="30"/>
      <c r="H458" s="30"/>
      <c r="I458" s="31"/>
      <c r="J458" s="32"/>
      <c r="K458" s="32" t="b">
        <f t="shared" si="14"/>
        <v>0</v>
      </c>
      <c r="L458" s="61">
        <f t="shared" si="15"/>
        <v>0</v>
      </c>
      <c r="M458" s="33"/>
      <c r="N458" s="34"/>
    </row>
    <row r="459" spans="1:14" ht="34.5" customHeight="1" x14ac:dyDescent="0.25">
      <c r="A459" s="26"/>
      <c r="B459" s="35"/>
      <c r="C459" s="27"/>
      <c r="D459" s="28"/>
      <c r="E459" s="29"/>
      <c r="F459" s="29"/>
      <c r="G459" s="30"/>
      <c r="H459" s="30"/>
      <c r="I459" s="31"/>
      <c r="J459" s="32"/>
      <c r="K459" s="32" t="b">
        <f t="shared" si="14"/>
        <v>0</v>
      </c>
      <c r="L459" s="61">
        <f t="shared" si="15"/>
        <v>0</v>
      </c>
      <c r="M459" s="33"/>
      <c r="N459" s="34"/>
    </row>
    <row r="460" spans="1:14" ht="34.5" customHeight="1" x14ac:dyDescent="0.25">
      <c r="A460" s="26"/>
      <c r="B460" s="35"/>
      <c r="C460" s="27"/>
      <c r="D460" s="28"/>
      <c r="E460" s="29"/>
      <c r="F460" s="29"/>
      <c r="G460" s="30"/>
      <c r="H460" s="30"/>
      <c r="I460" s="31"/>
      <c r="J460" s="32"/>
      <c r="K460" s="32" t="b">
        <f t="shared" si="14"/>
        <v>0</v>
      </c>
      <c r="L460" s="61">
        <f t="shared" si="15"/>
        <v>0</v>
      </c>
      <c r="M460" s="33"/>
      <c r="N460" s="34"/>
    </row>
    <row r="461" spans="1:14" ht="34.5" customHeight="1" x14ac:dyDescent="0.25">
      <c r="A461" s="26"/>
      <c r="B461" s="35"/>
      <c r="C461" s="27"/>
      <c r="D461" s="28"/>
      <c r="E461" s="29"/>
      <c r="F461" s="29"/>
      <c r="G461" s="30"/>
      <c r="H461" s="30"/>
      <c r="I461" s="31"/>
      <c r="J461" s="32"/>
      <c r="K461" s="32" t="b">
        <f t="shared" si="14"/>
        <v>0</v>
      </c>
      <c r="L461" s="61">
        <f t="shared" si="15"/>
        <v>0</v>
      </c>
      <c r="M461" s="33"/>
      <c r="N461" s="34"/>
    </row>
    <row r="462" spans="1:14" ht="34.5" customHeight="1" x14ac:dyDescent="0.25">
      <c r="A462" s="26"/>
      <c r="B462" s="35"/>
      <c r="C462" s="27"/>
      <c r="D462" s="28"/>
      <c r="E462" s="29"/>
      <c r="F462" s="29"/>
      <c r="G462" s="30"/>
      <c r="H462" s="30"/>
      <c r="I462" s="31"/>
      <c r="J462" s="32"/>
      <c r="K462" s="32" t="b">
        <f t="shared" si="14"/>
        <v>0</v>
      </c>
      <c r="L462" s="61">
        <f t="shared" si="15"/>
        <v>0</v>
      </c>
      <c r="M462" s="33"/>
      <c r="N462" s="34"/>
    </row>
    <row r="463" spans="1:14" ht="34.5" customHeight="1" x14ac:dyDescent="0.25">
      <c r="A463" s="26"/>
      <c r="B463" s="35"/>
      <c r="C463" s="27"/>
      <c r="D463" s="28"/>
      <c r="E463" s="29"/>
      <c r="F463" s="29"/>
      <c r="G463" s="30"/>
      <c r="H463" s="30"/>
      <c r="I463" s="31"/>
      <c r="J463" s="32"/>
      <c r="K463" s="32" t="b">
        <f t="shared" si="14"/>
        <v>0</v>
      </c>
      <c r="L463" s="61">
        <f t="shared" si="15"/>
        <v>0</v>
      </c>
      <c r="M463" s="33"/>
      <c r="N463" s="34"/>
    </row>
    <row r="464" spans="1:14" ht="34.5" customHeight="1" x14ac:dyDescent="0.25">
      <c r="A464" s="26"/>
      <c r="B464" s="35"/>
      <c r="C464" s="27"/>
      <c r="D464" s="28"/>
      <c r="E464" s="29"/>
      <c r="F464" s="29"/>
      <c r="G464" s="30"/>
      <c r="H464" s="30"/>
      <c r="I464" s="31"/>
      <c r="J464" s="32"/>
      <c r="K464" s="32" t="b">
        <f t="shared" si="14"/>
        <v>0</v>
      </c>
      <c r="L464" s="61">
        <f t="shared" si="15"/>
        <v>0</v>
      </c>
      <c r="M464" s="33"/>
      <c r="N464" s="34"/>
    </row>
    <row r="465" spans="1:14" ht="34.5" customHeight="1" x14ac:dyDescent="0.25">
      <c r="A465" s="26"/>
      <c r="B465" s="35"/>
      <c r="C465" s="27"/>
      <c r="D465" s="28"/>
      <c r="E465" s="29"/>
      <c r="F465" s="29"/>
      <c r="G465" s="30"/>
      <c r="H465" s="30"/>
      <c r="I465" s="31"/>
      <c r="J465" s="32"/>
      <c r="K465" s="32" t="b">
        <f t="shared" si="14"/>
        <v>0</v>
      </c>
      <c r="L465" s="61">
        <f t="shared" si="15"/>
        <v>0</v>
      </c>
      <c r="M465" s="33"/>
      <c r="N465" s="34"/>
    </row>
    <row r="466" spans="1:14" ht="34.5" customHeight="1" x14ac:dyDescent="0.25">
      <c r="A466" s="26"/>
      <c r="B466" s="35"/>
      <c r="C466" s="27"/>
      <c r="D466" s="28"/>
      <c r="E466" s="29"/>
      <c r="F466" s="29"/>
      <c r="G466" s="30"/>
      <c r="H466" s="30"/>
      <c r="I466" s="31"/>
      <c r="J466" s="32"/>
      <c r="K466" s="32" t="b">
        <f t="shared" si="14"/>
        <v>0</v>
      </c>
      <c r="L466" s="61">
        <f t="shared" si="15"/>
        <v>0</v>
      </c>
      <c r="M466" s="33"/>
      <c r="N466" s="34"/>
    </row>
    <row r="467" spans="1:14" ht="34.5" customHeight="1" x14ac:dyDescent="0.25">
      <c r="A467" s="26"/>
      <c r="B467" s="35"/>
      <c r="C467" s="27"/>
      <c r="D467" s="28"/>
      <c r="E467" s="29"/>
      <c r="F467" s="29"/>
      <c r="G467" s="30"/>
      <c r="H467" s="30"/>
      <c r="I467" s="31"/>
      <c r="J467" s="32"/>
      <c r="K467" s="32" t="b">
        <f t="shared" si="14"/>
        <v>0</v>
      </c>
      <c r="L467" s="61">
        <f t="shared" si="15"/>
        <v>0</v>
      </c>
      <c r="M467" s="33"/>
      <c r="N467" s="34"/>
    </row>
    <row r="468" spans="1:14" ht="34.5" customHeight="1" x14ac:dyDescent="0.25">
      <c r="A468" s="26"/>
      <c r="B468" s="35"/>
      <c r="C468" s="27"/>
      <c r="D468" s="28"/>
      <c r="E468" s="29"/>
      <c r="F468" s="29"/>
      <c r="G468" s="30"/>
      <c r="H468" s="30"/>
      <c r="I468" s="31"/>
      <c r="J468" s="32"/>
      <c r="K468" s="32" t="b">
        <f t="shared" si="14"/>
        <v>0</v>
      </c>
      <c r="L468" s="61">
        <f t="shared" si="15"/>
        <v>0</v>
      </c>
      <c r="M468" s="33"/>
      <c r="N468" s="34"/>
    </row>
    <row r="469" spans="1:14" ht="34.5" customHeight="1" x14ac:dyDescent="0.25">
      <c r="A469" s="26"/>
      <c r="B469" s="35"/>
      <c r="C469" s="27"/>
      <c r="D469" s="28"/>
      <c r="E469" s="29"/>
      <c r="F469" s="29"/>
      <c r="G469" s="30"/>
      <c r="H469" s="30"/>
      <c r="I469" s="31"/>
      <c r="J469" s="32"/>
      <c r="K469" s="32" t="b">
        <f t="shared" si="14"/>
        <v>0</v>
      </c>
      <c r="L469" s="61">
        <f t="shared" si="15"/>
        <v>0</v>
      </c>
      <c r="M469" s="33"/>
      <c r="N469" s="34"/>
    </row>
    <row r="470" spans="1:14" ht="34.5" customHeight="1" x14ac:dyDescent="0.25">
      <c r="A470" s="26"/>
      <c r="B470" s="35"/>
      <c r="C470" s="27"/>
      <c r="D470" s="28"/>
      <c r="E470" s="29"/>
      <c r="F470" s="29"/>
      <c r="G470" s="30"/>
      <c r="H470" s="30"/>
      <c r="I470" s="31"/>
      <c r="J470" s="32"/>
      <c r="K470" s="32" t="b">
        <f t="shared" si="14"/>
        <v>0</v>
      </c>
      <c r="L470" s="61">
        <f t="shared" si="15"/>
        <v>0</v>
      </c>
      <c r="M470" s="33"/>
      <c r="N470" s="34"/>
    </row>
    <row r="471" spans="1:14" ht="34.5" customHeight="1" x14ac:dyDescent="0.25">
      <c r="A471" s="26"/>
      <c r="B471" s="35"/>
      <c r="C471" s="27"/>
      <c r="D471" s="28"/>
      <c r="E471" s="29"/>
      <c r="F471" s="29"/>
      <c r="G471" s="30"/>
      <c r="H471" s="30"/>
      <c r="I471" s="31"/>
      <c r="J471" s="32"/>
      <c r="K471" s="32" t="b">
        <f t="shared" si="14"/>
        <v>0</v>
      </c>
      <c r="L471" s="61">
        <f t="shared" si="15"/>
        <v>0</v>
      </c>
      <c r="M471" s="33"/>
      <c r="N471" s="34"/>
    </row>
    <row r="472" spans="1:14" ht="34.5" customHeight="1" x14ac:dyDescent="0.25">
      <c r="A472" s="26"/>
      <c r="B472" s="35"/>
      <c r="C472" s="27"/>
      <c r="D472" s="28"/>
      <c r="E472" s="29"/>
      <c r="F472" s="29"/>
      <c r="G472" s="30"/>
      <c r="H472" s="30"/>
      <c r="I472" s="31"/>
      <c r="J472" s="32"/>
      <c r="K472" s="32" t="b">
        <f t="shared" si="14"/>
        <v>0</v>
      </c>
      <c r="L472" s="61">
        <f t="shared" si="15"/>
        <v>0</v>
      </c>
      <c r="M472" s="33"/>
      <c r="N472" s="34"/>
    </row>
    <row r="473" spans="1:14" ht="34.5" customHeight="1" x14ac:dyDescent="0.25">
      <c r="A473" s="26"/>
      <c r="B473" s="35"/>
      <c r="C473" s="27"/>
      <c r="D473" s="28"/>
      <c r="E473" s="29"/>
      <c r="F473" s="29"/>
      <c r="G473" s="30"/>
      <c r="H473" s="30"/>
      <c r="I473" s="31"/>
      <c r="J473" s="32"/>
      <c r="K473" s="32" t="b">
        <f t="shared" si="14"/>
        <v>0</v>
      </c>
      <c r="L473" s="61">
        <f t="shared" si="15"/>
        <v>0</v>
      </c>
      <c r="M473" s="33"/>
      <c r="N473" s="34"/>
    </row>
    <row r="474" spans="1:14" ht="34.5" customHeight="1" x14ac:dyDescent="0.25">
      <c r="A474" s="26"/>
      <c r="B474" s="35"/>
      <c r="C474" s="27"/>
      <c r="D474" s="28"/>
      <c r="E474" s="29"/>
      <c r="F474" s="29"/>
      <c r="G474" s="30"/>
      <c r="H474" s="30"/>
      <c r="I474" s="31"/>
      <c r="J474" s="32"/>
      <c r="K474" s="32" t="b">
        <f t="shared" si="14"/>
        <v>0</v>
      </c>
      <c r="L474" s="61">
        <f t="shared" si="15"/>
        <v>0</v>
      </c>
      <c r="M474" s="33"/>
      <c r="N474" s="34"/>
    </row>
    <row r="475" spans="1:14" ht="34.5" customHeight="1" x14ac:dyDescent="0.25">
      <c r="A475" s="26"/>
      <c r="B475" s="35"/>
      <c r="C475" s="27"/>
      <c r="D475" s="28"/>
      <c r="E475" s="29"/>
      <c r="F475" s="29"/>
      <c r="G475" s="30"/>
      <c r="H475" s="30"/>
      <c r="I475" s="31"/>
      <c r="J475" s="32"/>
      <c r="K475" s="32" t="b">
        <f t="shared" si="14"/>
        <v>0</v>
      </c>
      <c r="L475" s="61">
        <f t="shared" si="15"/>
        <v>0</v>
      </c>
      <c r="M475" s="33"/>
      <c r="N475" s="34"/>
    </row>
    <row r="476" spans="1:14" ht="34.5" customHeight="1" x14ac:dyDescent="0.25">
      <c r="A476" s="26"/>
      <c r="B476" s="35"/>
      <c r="C476" s="27"/>
      <c r="D476" s="28"/>
      <c r="E476" s="29"/>
      <c r="F476" s="29"/>
      <c r="G476" s="30"/>
      <c r="H476" s="30"/>
      <c r="I476" s="31"/>
      <c r="J476" s="32"/>
      <c r="K476" s="32" t="b">
        <f t="shared" si="14"/>
        <v>0</v>
      </c>
      <c r="L476" s="61">
        <f t="shared" si="15"/>
        <v>0</v>
      </c>
      <c r="M476" s="33"/>
      <c r="N476" s="34"/>
    </row>
    <row r="477" spans="1:14" ht="34.5" customHeight="1" x14ac:dyDescent="0.25">
      <c r="A477" s="26"/>
      <c r="B477" s="35"/>
      <c r="C477" s="27"/>
      <c r="D477" s="28"/>
      <c r="E477" s="29"/>
      <c r="F477" s="29"/>
      <c r="G477" s="30"/>
      <c r="H477" s="30"/>
      <c r="I477" s="31"/>
      <c r="J477" s="32"/>
      <c r="K477" s="32" t="b">
        <f t="shared" si="14"/>
        <v>0</v>
      </c>
      <c r="L477" s="61">
        <f t="shared" si="15"/>
        <v>0</v>
      </c>
      <c r="M477" s="33"/>
      <c r="N477" s="34"/>
    </row>
    <row r="478" spans="1:14" ht="34.5" customHeight="1" x14ac:dyDescent="0.25">
      <c r="A478" s="26"/>
      <c r="B478" s="35"/>
      <c r="C478" s="27"/>
      <c r="D478" s="28"/>
      <c r="E478" s="29"/>
      <c r="F478" s="29"/>
      <c r="G478" s="30"/>
      <c r="H478" s="30"/>
      <c r="I478" s="31"/>
      <c r="J478" s="32"/>
      <c r="K478" s="32" t="b">
        <f t="shared" si="14"/>
        <v>0</v>
      </c>
      <c r="L478" s="61">
        <f t="shared" si="15"/>
        <v>0</v>
      </c>
      <c r="M478" s="33"/>
      <c r="N478" s="34"/>
    </row>
    <row r="479" spans="1:14" ht="34.5" customHeight="1" x14ac:dyDescent="0.25">
      <c r="A479" s="26"/>
      <c r="B479" s="35"/>
      <c r="C479" s="27"/>
      <c r="D479" s="28"/>
      <c r="E479" s="29"/>
      <c r="F479" s="29"/>
      <c r="G479" s="30"/>
      <c r="H479" s="30"/>
      <c r="I479" s="31"/>
      <c r="J479" s="32"/>
      <c r="K479" s="32" t="b">
        <f t="shared" si="14"/>
        <v>0</v>
      </c>
      <c r="L479" s="61">
        <f t="shared" si="15"/>
        <v>0</v>
      </c>
      <c r="M479" s="33"/>
      <c r="N479" s="34"/>
    </row>
    <row r="480" spans="1:14" ht="34.5" customHeight="1" x14ac:dyDescent="0.25">
      <c r="A480" s="26"/>
      <c r="B480" s="35"/>
      <c r="C480" s="27"/>
      <c r="D480" s="28"/>
      <c r="E480" s="29"/>
      <c r="F480" s="29"/>
      <c r="G480" s="30"/>
      <c r="H480" s="30"/>
      <c r="I480" s="31"/>
      <c r="J480" s="32"/>
      <c r="K480" s="32" t="b">
        <f t="shared" si="14"/>
        <v>0</v>
      </c>
      <c r="L480" s="61">
        <f t="shared" si="15"/>
        <v>0</v>
      </c>
      <c r="M480" s="33"/>
      <c r="N480" s="34"/>
    </row>
    <row r="481" spans="1:14" ht="34.5" customHeight="1" x14ac:dyDescent="0.25">
      <c r="A481" s="26"/>
      <c r="B481" s="35"/>
      <c r="C481" s="27"/>
      <c r="D481" s="28"/>
      <c r="E481" s="29"/>
      <c r="F481" s="29"/>
      <c r="G481" s="30"/>
      <c r="H481" s="30"/>
      <c r="I481" s="31"/>
      <c r="J481" s="32"/>
      <c r="K481" s="32" t="b">
        <f t="shared" si="14"/>
        <v>0</v>
      </c>
      <c r="L481" s="61">
        <f t="shared" si="15"/>
        <v>0</v>
      </c>
      <c r="M481" s="33"/>
      <c r="N481" s="34"/>
    </row>
    <row r="482" spans="1:14" ht="34.5" customHeight="1" x14ac:dyDescent="0.25">
      <c r="A482" s="26"/>
      <c r="B482" s="35"/>
      <c r="C482" s="27"/>
      <c r="D482" s="28"/>
      <c r="E482" s="29"/>
      <c r="F482" s="29"/>
      <c r="G482" s="30"/>
      <c r="H482" s="30"/>
      <c r="I482" s="31"/>
      <c r="J482" s="32"/>
      <c r="K482" s="32" t="b">
        <f t="shared" si="14"/>
        <v>0</v>
      </c>
      <c r="L482" s="61">
        <f t="shared" si="15"/>
        <v>0</v>
      </c>
      <c r="M482" s="33"/>
      <c r="N482" s="34"/>
    </row>
    <row r="483" spans="1:14" ht="34.5" customHeight="1" x14ac:dyDescent="0.25">
      <c r="A483" s="26"/>
      <c r="B483" s="35"/>
      <c r="C483" s="27"/>
      <c r="D483" s="28"/>
      <c r="E483" s="29"/>
      <c r="F483" s="29"/>
      <c r="G483" s="30"/>
      <c r="H483" s="30"/>
      <c r="I483" s="31"/>
      <c r="J483" s="32"/>
      <c r="K483" s="32" t="b">
        <f t="shared" si="14"/>
        <v>0</v>
      </c>
      <c r="L483" s="61">
        <f t="shared" si="15"/>
        <v>0</v>
      </c>
      <c r="M483" s="33"/>
      <c r="N483" s="34"/>
    </row>
    <row r="484" spans="1:14" ht="34.5" customHeight="1" x14ac:dyDescent="0.25">
      <c r="A484" s="26"/>
      <c r="B484" s="35"/>
      <c r="C484" s="27"/>
      <c r="D484" s="28"/>
      <c r="E484" s="29"/>
      <c r="F484" s="29"/>
      <c r="G484" s="30"/>
      <c r="H484" s="30"/>
      <c r="I484" s="31"/>
      <c r="J484" s="32"/>
      <c r="K484" s="32" t="b">
        <f t="shared" si="14"/>
        <v>0</v>
      </c>
      <c r="L484" s="61">
        <f t="shared" si="15"/>
        <v>0</v>
      </c>
      <c r="M484" s="33"/>
      <c r="N484" s="34"/>
    </row>
    <row r="485" spans="1:14" ht="34.5" customHeight="1" x14ac:dyDescent="0.25">
      <c r="A485" s="26"/>
      <c r="B485" s="35"/>
      <c r="C485" s="27"/>
      <c r="D485" s="28"/>
      <c r="E485" s="29"/>
      <c r="F485" s="29"/>
      <c r="G485" s="30"/>
      <c r="H485" s="30"/>
      <c r="I485" s="31"/>
      <c r="J485" s="32"/>
      <c r="K485" s="32" t="b">
        <f t="shared" si="14"/>
        <v>0</v>
      </c>
      <c r="L485" s="61">
        <f t="shared" si="15"/>
        <v>0</v>
      </c>
      <c r="M485" s="33"/>
      <c r="N485" s="34"/>
    </row>
    <row r="486" spans="1:14" ht="34.5" customHeight="1" x14ac:dyDescent="0.25">
      <c r="A486" s="26"/>
      <c r="B486" s="35"/>
      <c r="C486" s="27"/>
      <c r="D486" s="28"/>
      <c r="E486" s="29"/>
      <c r="F486" s="29"/>
      <c r="G486" s="30"/>
      <c r="H486" s="30"/>
      <c r="I486" s="31"/>
      <c r="J486" s="32"/>
      <c r="K486" s="32" t="b">
        <f t="shared" si="14"/>
        <v>0</v>
      </c>
      <c r="L486" s="61">
        <f t="shared" si="15"/>
        <v>0</v>
      </c>
      <c r="M486" s="33"/>
      <c r="N486" s="34"/>
    </row>
    <row r="487" spans="1:14" ht="34.5" customHeight="1" x14ac:dyDescent="0.25">
      <c r="A487" s="26"/>
      <c r="B487" s="35"/>
      <c r="C487" s="27"/>
      <c r="D487" s="28"/>
      <c r="E487" s="29"/>
      <c r="F487" s="29"/>
      <c r="G487" s="30"/>
      <c r="H487" s="30"/>
      <c r="I487" s="31"/>
      <c r="J487" s="32"/>
      <c r="K487" s="32" t="b">
        <f t="shared" si="14"/>
        <v>0</v>
      </c>
      <c r="L487" s="61">
        <f t="shared" si="15"/>
        <v>0</v>
      </c>
      <c r="M487" s="33"/>
      <c r="N487" s="34"/>
    </row>
    <row r="488" spans="1:14" ht="34.5" customHeight="1" x14ac:dyDescent="0.25">
      <c r="A488" s="26"/>
      <c r="B488" s="35"/>
      <c r="C488" s="27"/>
      <c r="D488" s="28"/>
      <c r="E488" s="29"/>
      <c r="F488" s="29"/>
      <c r="G488" s="30"/>
      <c r="H488" s="30"/>
      <c r="I488" s="31"/>
      <c r="J488" s="32"/>
      <c r="K488" s="32" t="b">
        <f t="shared" si="14"/>
        <v>0</v>
      </c>
      <c r="L488" s="61">
        <f t="shared" si="15"/>
        <v>0</v>
      </c>
      <c r="M488" s="33"/>
      <c r="N488" s="34"/>
    </row>
    <row r="489" spans="1:14" ht="34.5" customHeight="1" x14ac:dyDescent="0.25">
      <c r="A489" s="26"/>
      <c r="B489" s="35"/>
      <c r="C489" s="27"/>
      <c r="D489" s="28"/>
      <c r="E489" s="29"/>
      <c r="F489" s="29"/>
      <c r="G489" s="30"/>
      <c r="H489" s="30"/>
      <c r="I489" s="31"/>
      <c r="J489" s="32"/>
      <c r="K489" s="32" t="b">
        <f t="shared" si="14"/>
        <v>0</v>
      </c>
      <c r="L489" s="61">
        <f t="shared" si="15"/>
        <v>0</v>
      </c>
      <c r="M489" s="33"/>
      <c r="N489" s="34"/>
    </row>
    <row r="490" spans="1:14" ht="34.5" customHeight="1" x14ac:dyDescent="0.25">
      <c r="A490" s="26"/>
      <c r="B490" s="35"/>
      <c r="C490" s="27"/>
      <c r="D490" s="28"/>
      <c r="E490" s="29"/>
      <c r="F490" s="29"/>
      <c r="G490" s="30"/>
      <c r="H490" s="30"/>
      <c r="I490" s="31"/>
      <c r="J490" s="32"/>
      <c r="K490" s="32" t="b">
        <f t="shared" si="14"/>
        <v>0</v>
      </c>
      <c r="L490" s="61">
        <f t="shared" si="15"/>
        <v>0</v>
      </c>
      <c r="M490" s="33"/>
      <c r="N490" s="34"/>
    </row>
    <row r="491" spans="1:14" ht="34.5" customHeight="1" x14ac:dyDescent="0.25">
      <c r="A491" s="26"/>
      <c r="B491" s="35"/>
      <c r="C491" s="27"/>
      <c r="D491" s="28"/>
      <c r="E491" s="29"/>
      <c r="F491" s="29"/>
      <c r="G491" s="30"/>
      <c r="H491" s="30"/>
      <c r="I491" s="31"/>
      <c r="J491" s="32"/>
      <c r="K491" s="32" t="b">
        <f t="shared" si="14"/>
        <v>0</v>
      </c>
      <c r="L491" s="61">
        <f t="shared" si="15"/>
        <v>0</v>
      </c>
      <c r="M491" s="33"/>
      <c r="N491" s="34"/>
    </row>
    <row r="492" spans="1:14" ht="34.5" customHeight="1" x14ac:dyDescent="0.25">
      <c r="A492" s="26"/>
      <c r="B492" s="35"/>
      <c r="C492" s="27"/>
      <c r="D492" s="28"/>
      <c r="E492" s="29"/>
      <c r="F492" s="29"/>
      <c r="G492" s="30"/>
      <c r="H492" s="30"/>
      <c r="I492" s="31"/>
      <c r="J492" s="32"/>
      <c r="K492" s="32" t="b">
        <f t="shared" si="14"/>
        <v>0</v>
      </c>
      <c r="L492" s="61">
        <f t="shared" si="15"/>
        <v>0</v>
      </c>
      <c r="M492" s="33"/>
      <c r="N492" s="34"/>
    </row>
    <row r="493" spans="1:14" ht="34.5" customHeight="1" x14ac:dyDescent="0.25">
      <c r="A493" s="26"/>
      <c r="B493" s="35"/>
      <c r="C493" s="27"/>
      <c r="D493" s="28"/>
      <c r="E493" s="29"/>
      <c r="F493" s="29"/>
      <c r="G493" s="30"/>
      <c r="H493" s="30"/>
      <c r="I493" s="31"/>
      <c r="J493" s="32"/>
      <c r="K493" s="32" t="b">
        <f t="shared" si="14"/>
        <v>0</v>
      </c>
      <c r="L493" s="61">
        <f t="shared" si="15"/>
        <v>0</v>
      </c>
      <c r="M493" s="33"/>
      <c r="N493" s="34"/>
    </row>
    <row r="494" spans="1:14" ht="34.5" customHeight="1" x14ac:dyDescent="0.25">
      <c r="A494" s="26"/>
      <c r="B494" s="35"/>
      <c r="C494" s="27"/>
      <c r="D494" s="28"/>
      <c r="E494" s="29"/>
      <c r="F494" s="29"/>
      <c r="G494" s="30"/>
      <c r="H494" s="30"/>
      <c r="I494" s="31"/>
      <c r="J494" s="32"/>
      <c r="K494" s="32" t="b">
        <f t="shared" si="14"/>
        <v>0</v>
      </c>
      <c r="L494" s="61">
        <f t="shared" si="15"/>
        <v>0</v>
      </c>
      <c r="M494" s="33"/>
      <c r="N494" s="34"/>
    </row>
    <row r="495" spans="1:14" ht="34.5" customHeight="1" x14ac:dyDescent="0.25">
      <c r="A495" s="26"/>
      <c r="B495" s="35"/>
      <c r="C495" s="27"/>
      <c r="D495" s="28"/>
      <c r="E495" s="29"/>
      <c r="F495" s="29"/>
      <c r="G495" s="30"/>
      <c r="H495" s="30"/>
      <c r="I495" s="31"/>
      <c r="J495" s="32"/>
      <c r="K495" s="32" t="b">
        <f t="shared" si="14"/>
        <v>0</v>
      </c>
      <c r="L495" s="61">
        <f t="shared" si="15"/>
        <v>0</v>
      </c>
      <c r="M495" s="33"/>
      <c r="N495" s="34"/>
    </row>
    <row r="496" spans="1:14" ht="34.5" customHeight="1" x14ac:dyDescent="0.25">
      <c r="A496" s="26"/>
      <c r="B496" s="35"/>
      <c r="C496" s="27"/>
      <c r="D496" s="28"/>
      <c r="E496" s="29"/>
      <c r="F496" s="29"/>
      <c r="G496" s="30"/>
      <c r="H496" s="30"/>
      <c r="I496" s="31"/>
      <c r="J496" s="32"/>
      <c r="K496" s="32" t="b">
        <f t="shared" si="14"/>
        <v>0</v>
      </c>
      <c r="L496" s="61">
        <f t="shared" si="15"/>
        <v>0</v>
      </c>
      <c r="M496" s="33"/>
      <c r="N496" s="34"/>
    </row>
    <row r="497" spans="1:14" ht="34.5" customHeight="1" x14ac:dyDescent="0.25">
      <c r="A497" s="26"/>
      <c r="B497" s="35"/>
      <c r="C497" s="27"/>
      <c r="D497" s="28"/>
      <c r="E497" s="29"/>
      <c r="F497" s="29"/>
      <c r="G497" s="30"/>
      <c r="H497" s="30"/>
      <c r="I497" s="31"/>
      <c r="J497" s="32"/>
      <c r="K497" s="32" t="b">
        <f t="shared" si="14"/>
        <v>0</v>
      </c>
      <c r="L497" s="61">
        <f t="shared" si="15"/>
        <v>0</v>
      </c>
      <c r="M497" s="33"/>
      <c r="N497" s="34"/>
    </row>
    <row r="498" spans="1:14" ht="34.5" customHeight="1" x14ac:dyDescent="0.25">
      <c r="A498" s="26"/>
      <c r="B498" s="35"/>
      <c r="C498" s="27"/>
      <c r="D498" s="28"/>
      <c r="E498" s="29"/>
      <c r="F498" s="29"/>
      <c r="G498" s="30"/>
      <c r="H498" s="30"/>
      <c r="I498" s="31"/>
      <c r="J498" s="32"/>
      <c r="K498" s="32" t="b">
        <f t="shared" si="14"/>
        <v>0</v>
      </c>
      <c r="L498" s="61">
        <f t="shared" si="15"/>
        <v>0</v>
      </c>
      <c r="M498" s="33"/>
      <c r="N498" s="34"/>
    </row>
    <row r="499" spans="1:14" ht="34.5" customHeight="1" x14ac:dyDescent="0.25">
      <c r="A499" s="26"/>
      <c r="B499" s="35"/>
      <c r="C499" s="27"/>
      <c r="D499" s="28"/>
      <c r="E499" s="29"/>
      <c r="F499" s="29"/>
      <c r="G499" s="30"/>
      <c r="H499" s="30"/>
      <c r="I499" s="31"/>
      <c r="J499" s="32"/>
      <c r="K499" s="32" t="b">
        <f t="shared" si="14"/>
        <v>0</v>
      </c>
      <c r="L499" s="61">
        <f t="shared" si="15"/>
        <v>0</v>
      </c>
      <c r="M499" s="33"/>
      <c r="N499" s="34"/>
    </row>
    <row r="500" spans="1:14" ht="34.5" customHeight="1" x14ac:dyDescent="0.25">
      <c r="A500" s="26"/>
      <c r="B500" s="35"/>
      <c r="C500" s="27"/>
      <c r="D500" s="28"/>
      <c r="E500" s="29"/>
      <c r="F500" s="29"/>
      <c r="G500" s="30"/>
      <c r="H500" s="30"/>
      <c r="I500" s="31"/>
      <c r="J500" s="32"/>
      <c r="K500" s="32" t="b">
        <f t="shared" si="14"/>
        <v>0</v>
      </c>
      <c r="L500" s="61">
        <f t="shared" si="15"/>
        <v>0</v>
      </c>
      <c r="M500" s="33"/>
      <c r="N500" s="34"/>
    </row>
    <row r="501" spans="1:14" ht="34.5" customHeight="1" x14ac:dyDescent="0.25">
      <c r="A501" s="26"/>
      <c r="B501" s="35"/>
      <c r="C501" s="27"/>
      <c r="D501" s="28"/>
      <c r="E501" s="29"/>
      <c r="F501" s="29"/>
      <c r="G501" s="30"/>
      <c r="H501" s="30"/>
      <c r="I501" s="31"/>
      <c r="J501" s="32"/>
      <c r="K501" s="32" t="b">
        <f t="shared" si="14"/>
        <v>0</v>
      </c>
      <c r="L501" s="61">
        <f t="shared" si="15"/>
        <v>0</v>
      </c>
      <c r="M501" s="33"/>
      <c r="N501" s="34"/>
    </row>
    <row r="502" spans="1:14" ht="34.5" customHeight="1" x14ac:dyDescent="0.25">
      <c r="A502" s="26"/>
      <c r="B502" s="35"/>
      <c r="C502" s="27"/>
      <c r="D502" s="28"/>
      <c r="E502" s="29"/>
      <c r="F502" s="29"/>
      <c r="G502" s="30"/>
      <c r="H502" s="30"/>
      <c r="I502" s="31"/>
      <c r="J502" s="32"/>
      <c r="K502" s="32" t="b">
        <f t="shared" si="14"/>
        <v>0</v>
      </c>
      <c r="L502" s="61">
        <f t="shared" si="15"/>
        <v>0</v>
      </c>
      <c r="M502" s="33"/>
      <c r="N502" s="34"/>
    </row>
    <row r="503" spans="1:14" ht="34.5" customHeight="1" x14ac:dyDescent="0.25">
      <c r="A503" s="26"/>
      <c r="B503" s="35"/>
      <c r="C503" s="27"/>
      <c r="D503" s="28"/>
      <c r="E503" s="29"/>
      <c r="F503" s="29"/>
      <c r="G503" s="30"/>
      <c r="H503" s="30"/>
      <c r="I503" s="31"/>
      <c r="J503" s="32"/>
      <c r="K503" s="32" t="b">
        <f t="shared" si="14"/>
        <v>0</v>
      </c>
      <c r="L503" s="61">
        <f t="shared" si="15"/>
        <v>0</v>
      </c>
      <c r="M503" s="33"/>
      <c r="N503" s="34"/>
    </row>
    <row r="504" spans="1:14" ht="34.5" customHeight="1" x14ac:dyDescent="0.25">
      <c r="A504" s="26"/>
      <c r="B504" s="35"/>
      <c r="C504" s="27"/>
      <c r="D504" s="28"/>
      <c r="E504" s="29"/>
      <c r="F504" s="29"/>
      <c r="G504" s="30"/>
      <c r="H504" s="30"/>
      <c r="I504" s="31"/>
      <c r="J504" s="32"/>
      <c r="K504" s="32" t="b">
        <f t="shared" si="14"/>
        <v>0</v>
      </c>
      <c r="L504" s="61">
        <f t="shared" si="15"/>
        <v>0</v>
      </c>
      <c r="M504" s="33"/>
      <c r="N504" s="34"/>
    </row>
    <row r="505" spans="1:14" ht="34.5" customHeight="1" x14ac:dyDescent="0.25">
      <c r="A505" s="26"/>
      <c r="B505" s="35"/>
      <c r="C505" s="27"/>
      <c r="D505" s="28"/>
      <c r="E505" s="29"/>
      <c r="F505" s="29"/>
      <c r="G505" s="30"/>
      <c r="H505" s="30"/>
      <c r="I505" s="31"/>
      <c r="J505" s="32"/>
      <c r="K505" s="32" t="b">
        <f t="shared" si="14"/>
        <v>0</v>
      </c>
      <c r="L505" s="61">
        <f t="shared" si="15"/>
        <v>0</v>
      </c>
      <c r="M505" s="33"/>
      <c r="N505" s="34"/>
    </row>
    <row r="506" spans="1:14" ht="34.5" customHeight="1" x14ac:dyDescent="0.25">
      <c r="A506" s="26"/>
      <c r="B506" s="35"/>
      <c r="C506" s="27"/>
      <c r="D506" s="28"/>
      <c r="E506" s="29"/>
      <c r="F506" s="29"/>
      <c r="G506" s="30"/>
      <c r="H506" s="30"/>
      <c r="I506" s="31"/>
      <c r="J506" s="32"/>
      <c r="K506" s="32" t="b">
        <f t="shared" si="14"/>
        <v>0</v>
      </c>
      <c r="L506" s="61">
        <f t="shared" si="15"/>
        <v>0</v>
      </c>
      <c r="M506" s="33"/>
      <c r="N506" s="34"/>
    </row>
    <row r="507" spans="1:14" ht="34.5" customHeight="1" x14ac:dyDescent="0.25">
      <c r="A507" s="26"/>
      <c r="B507" s="35"/>
      <c r="C507" s="27"/>
      <c r="D507" s="28"/>
      <c r="E507" s="29"/>
      <c r="F507" s="29"/>
      <c r="G507" s="30"/>
      <c r="H507" s="30"/>
      <c r="I507" s="31"/>
      <c r="J507" s="32"/>
      <c r="K507" s="32" t="b">
        <f t="shared" si="14"/>
        <v>0</v>
      </c>
      <c r="L507" s="61">
        <f t="shared" si="15"/>
        <v>0</v>
      </c>
      <c r="M507" s="33"/>
      <c r="N507" s="34"/>
    </row>
    <row r="508" spans="1:14" ht="34.5" customHeight="1" x14ac:dyDescent="0.25">
      <c r="A508" s="26"/>
      <c r="B508" s="35"/>
      <c r="C508" s="27"/>
      <c r="D508" s="28"/>
      <c r="E508" s="29"/>
      <c r="F508" s="29"/>
      <c r="G508" s="30"/>
      <c r="H508" s="30"/>
      <c r="I508" s="31"/>
      <c r="J508" s="32"/>
      <c r="K508" s="32" t="b">
        <f t="shared" si="14"/>
        <v>0</v>
      </c>
      <c r="L508" s="61">
        <f t="shared" si="15"/>
        <v>0</v>
      </c>
      <c r="M508" s="33"/>
      <c r="N508" s="34"/>
    </row>
    <row r="509" spans="1:14" ht="34.5" customHeight="1" x14ac:dyDescent="0.25">
      <c r="A509" s="26"/>
      <c r="B509" s="35"/>
      <c r="C509" s="27"/>
      <c r="D509" s="28"/>
      <c r="E509" s="29"/>
      <c r="F509" s="29"/>
      <c r="G509" s="30"/>
      <c r="H509" s="30"/>
      <c r="I509" s="31"/>
      <c r="J509" s="32"/>
      <c r="K509" s="32" t="b">
        <f t="shared" si="14"/>
        <v>0</v>
      </c>
      <c r="L509" s="61">
        <f t="shared" si="15"/>
        <v>0</v>
      </c>
      <c r="M509" s="33"/>
      <c r="N509" s="34"/>
    </row>
    <row r="510" spans="1:14" ht="34.5" customHeight="1" x14ac:dyDescent="0.25">
      <c r="A510" s="26"/>
      <c r="B510" s="35"/>
      <c r="C510" s="27"/>
      <c r="D510" s="28"/>
      <c r="E510" s="29"/>
      <c r="F510" s="29"/>
      <c r="G510" s="30"/>
      <c r="H510" s="30"/>
      <c r="I510" s="31"/>
      <c r="J510" s="32"/>
      <c r="K510" s="32" t="b">
        <f t="shared" si="14"/>
        <v>0</v>
      </c>
      <c r="L510" s="61">
        <f t="shared" si="15"/>
        <v>0</v>
      </c>
      <c r="M510" s="33"/>
      <c r="N510" s="34"/>
    </row>
    <row r="511" spans="1:14" ht="34.5" customHeight="1" x14ac:dyDescent="0.25">
      <c r="A511" s="26"/>
      <c r="B511" s="35"/>
      <c r="C511" s="27"/>
      <c r="D511" s="28"/>
      <c r="E511" s="29"/>
      <c r="F511" s="29"/>
      <c r="G511" s="30"/>
      <c r="H511" s="30"/>
      <c r="I511" s="31"/>
      <c r="J511" s="32"/>
      <c r="K511" s="32" t="b">
        <f t="shared" si="14"/>
        <v>0</v>
      </c>
      <c r="L511" s="61">
        <f t="shared" si="15"/>
        <v>0</v>
      </c>
      <c r="M511" s="33"/>
      <c r="N511" s="34"/>
    </row>
    <row r="512" spans="1:14" ht="34.5" customHeight="1" x14ac:dyDescent="0.25">
      <c r="A512" s="26"/>
      <c r="B512" s="35"/>
      <c r="C512" s="27"/>
      <c r="D512" s="28"/>
      <c r="E512" s="29"/>
      <c r="F512" s="29"/>
      <c r="G512" s="30"/>
      <c r="H512" s="30"/>
      <c r="I512" s="31"/>
      <c r="J512" s="32"/>
      <c r="K512" s="32" t="b">
        <f t="shared" si="14"/>
        <v>0</v>
      </c>
      <c r="L512" s="61">
        <f t="shared" si="15"/>
        <v>0</v>
      </c>
      <c r="M512" s="33"/>
      <c r="N512" s="34"/>
    </row>
    <row r="513" spans="1:14" ht="34.5" customHeight="1" x14ac:dyDescent="0.25">
      <c r="A513" s="26"/>
      <c r="B513" s="35"/>
      <c r="C513" s="27"/>
      <c r="D513" s="28"/>
      <c r="E513" s="29"/>
      <c r="F513" s="29"/>
      <c r="G513" s="30"/>
      <c r="H513" s="30"/>
      <c r="I513" s="31"/>
      <c r="J513" s="32"/>
      <c r="K513" s="32" t="b">
        <f t="shared" si="14"/>
        <v>0</v>
      </c>
      <c r="L513" s="61">
        <f t="shared" si="15"/>
        <v>0</v>
      </c>
      <c r="M513" s="33"/>
      <c r="N513" s="34"/>
    </row>
    <row r="514" spans="1:14" ht="34.5" customHeight="1" x14ac:dyDescent="0.25">
      <c r="A514" s="26"/>
      <c r="B514" s="35"/>
      <c r="C514" s="27"/>
      <c r="D514" s="28"/>
      <c r="E514" s="29"/>
      <c r="F514" s="29"/>
      <c r="G514" s="30"/>
      <c r="H514" s="30"/>
      <c r="I514" s="31"/>
      <c r="J514" s="32"/>
      <c r="K514" s="32" t="b">
        <f t="shared" si="14"/>
        <v>0</v>
      </c>
      <c r="L514" s="61">
        <f t="shared" si="15"/>
        <v>0</v>
      </c>
      <c r="M514" s="33"/>
      <c r="N514" s="34"/>
    </row>
    <row r="515" spans="1:14" ht="34.5" customHeight="1" x14ac:dyDescent="0.25">
      <c r="A515" s="26"/>
      <c r="B515" s="35"/>
      <c r="C515" s="27"/>
      <c r="D515" s="28"/>
      <c r="E515" s="29"/>
      <c r="F515" s="29"/>
      <c r="G515" s="30"/>
      <c r="H515" s="30"/>
      <c r="I515" s="31"/>
      <c r="J515" s="32"/>
      <c r="K515" s="32" t="b">
        <f t="shared" si="14"/>
        <v>0</v>
      </c>
      <c r="L515" s="61">
        <f t="shared" si="15"/>
        <v>0</v>
      </c>
      <c r="M515" s="33"/>
      <c r="N515" s="34"/>
    </row>
    <row r="516" spans="1:14" ht="34.5" customHeight="1" x14ac:dyDescent="0.25">
      <c r="A516" s="26"/>
      <c r="B516" s="35"/>
      <c r="C516" s="27"/>
      <c r="D516" s="28"/>
      <c r="E516" s="36"/>
      <c r="F516" s="36"/>
      <c r="G516" s="30"/>
      <c r="H516" s="30"/>
      <c r="I516" s="31"/>
      <c r="J516" s="32"/>
      <c r="K516" s="32" t="b">
        <f t="shared" si="14"/>
        <v>0</v>
      </c>
      <c r="L516" s="61">
        <f t="shared" si="15"/>
        <v>0</v>
      </c>
      <c r="M516" s="33"/>
      <c r="N516" s="34"/>
    </row>
    <row r="517" spans="1:14" ht="34.5" customHeight="1" x14ac:dyDescent="0.25">
      <c r="A517" s="26"/>
      <c r="B517" s="35"/>
      <c r="C517" s="27"/>
      <c r="D517" s="28"/>
      <c r="E517" s="36"/>
      <c r="F517" s="36"/>
      <c r="G517" s="30"/>
      <c r="H517" s="30"/>
      <c r="I517" s="31"/>
      <c r="J517" s="32"/>
      <c r="K517" s="32" t="b">
        <f t="shared" ref="K517:K580" si="16">IF(J517="b","0,6",IF(J517="r","0,2",IF(J517="o",0.8)))</f>
        <v>0</v>
      </c>
      <c r="L517" s="61">
        <f t="shared" ref="L517:L580" si="17">K517*I517</f>
        <v>0</v>
      </c>
      <c r="M517" s="33"/>
      <c r="N517" s="34"/>
    </row>
    <row r="518" spans="1:14" ht="34.5" customHeight="1" x14ac:dyDescent="0.25">
      <c r="A518" s="26"/>
      <c r="B518" s="37"/>
      <c r="C518" s="27"/>
      <c r="D518" s="28"/>
      <c r="E518" s="36"/>
      <c r="F518" s="36"/>
      <c r="G518" s="30"/>
      <c r="H518" s="30"/>
      <c r="I518" s="31"/>
      <c r="J518" s="32"/>
      <c r="K518" s="32" t="b">
        <f t="shared" si="16"/>
        <v>0</v>
      </c>
      <c r="L518" s="61">
        <f t="shared" si="17"/>
        <v>0</v>
      </c>
      <c r="M518" s="33"/>
      <c r="N518" s="34"/>
    </row>
    <row r="519" spans="1:14" ht="34.5" customHeight="1" x14ac:dyDescent="0.25">
      <c r="A519" s="26"/>
      <c r="B519" s="35"/>
      <c r="C519" s="27"/>
      <c r="D519" s="28"/>
      <c r="E519" s="36"/>
      <c r="F519" s="36"/>
      <c r="G519" s="30"/>
      <c r="H519" s="30"/>
      <c r="I519" s="31"/>
      <c r="J519" s="32"/>
      <c r="K519" s="32" t="b">
        <f t="shared" si="16"/>
        <v>0</v>
      </c>
      <c r="L519" s="61">
        <f t="shared" si="17"/>
        <v>0</v>
      </c>
      <c r="M519" s="33"/>
      <c r="N519" s="34"/>
    </row>
    <row r="520" spans="1:14" ht="34.5" customHeight="1" x14ac:dyDescent="0.25">
      <c r="A520" s="26"/>
      <c r="B520" s="35"/>
      <c r="C520" s="27"/>
      <c r="D520" s="28"/>
      <c r="E520" s="36"/>
      <c r="F520" s="36"/>
      <c r="G520" s="30"/>
      <c r="H520" s="30"/>
      <c r="I520" s="31"/>
      <c r="J520" s="32"/>
      <c r="K520" s="32" t="b">
        <f t="shared" si="16"/>
        <v>0</v>
      </c>
      <c r="L520" s="61">
        <f t="shared" si="17"/>
        <v>0</v>
      </c>
      <c r="M520" s="33"/>
      <c r="N520" s="34"/>
    </row>
    <row r="521" spans="1:14" ht="34.5" customHeight="1" x14ac:dyDescent="0.25">
      <c r="A521" s="26"/>
      <c r="B521" s="35"/>
      <c r="C521" s="27"/>
      <c r="D521" s="28"/>
      <c r="E521" s="36"/>
      <c r="F521" s="36"/>
      <c r="G521" s="30"/>
      <c r="H521" s="30"/>
      <c r="I521" s="31"/>
      <c r="J521" s="32"/>
      <c r="K521" s="32" t="b">
        <f t="shared" si="16"/>
        <v>0</v>
      </c>
      <c r="L521" s="61">
        <f t="shared" si="17"/>
        <v>0</v>
      </c>
      <c r="M521" s="33"/>
      <c r="N521" s="34"/>
    </row>
    <row r="522" spans="1:14" ht="34.5" customHeight="1" x14ac:dyDescent="0.25">
      <c r="A522" s="26"/>
      <c r="B522" s="35"/>
      <c r="C522" s="27"/>
      <c r="D522" s="28"/>
      <c r="E522" s="36"/>
      <c r="F522" s="36"/>
      <c r="G522" s="30"/>
      <c r="H522" s="30"/>
      <c r="I522" s="31"/>
      <c r="J522" s="32"/>
      <c r="K522" s="32" t="b">
        <f t="shared" si="16"/>
        <v>0</v>
      </c>
      <c r="L522" s="61">
        <f t="shared" si="17"/>
        <v>0</v>
      </c>
      <c r="M522" s="33"/>
      <c r="N522" s="34"/>
    </row>
    <row r="523" spans="1:14" ht="34.5" customHeight="1" x14ac:dyDescent="0.25">
      <c r="A523" s="26"/>
      <c r="B523" s="35"/>
      <c r="C523" s="27"/>
      <c r="D523" s="28"/>
      <c r="E523" s="36"/>
      <c r="F523" s="36"/>
      <c r="G523" s="30"/>
      <c r="H523" s="30"/>
      <c r="I523" s="31"/>
      <c r="J523" s="32"/>
      <c r="K523" s="32" t="b">
        <f t="shared" si="16"/>
        <v>0</v>
      </c>
      <c r="L523" s="61">
        <f t="shared" si="17"/>
        <v>0</v>
      </c>
      <c r="M523" s="33"/>
      <c r="N523" s="34"/>
    </row>
    <row r="524" spans="1:14" ht="34.5" customHeight="1" x14ac:dyDescent="0.25">
      <c r="A524" s="26"/>
      <c r="B524" s="35"/>
      <c r="C524" s="27"/>
      <c r="D524" s="28"/>
      <c r="E524" s="36"/>
      <c r="F524" s="36"/>
      <c r="G524" s="30"/>
      <c r="H524" s="30"/>
      <c r="I524" s="31"/>
      <c r="J524" s="32"/>
      <c r="K524" s="32" t="b">
        <f t="shared" si="16"/>
        <v>0</v>
      </c>
      <c r="L524" s="61">
        <f t="shared" si="17"/>
        <v>0</v>
      </c>
      <c r="M524" s="33"/>
      <c r="N524" s="34"/>
    </row>
    <row r="525" spans="1:14" ht="34.5" customHeight="1" x14ac:dyDescent="0.25">
      <c r="A525" s="26"/>
      <c r="B525" s="35"/>
      <c r="C525" s="27"/>
      <c r="D525" s="28"/>
      <c r="E525" s="36"/>
      <c r="F525" s="36"/>
      <c r="G525" s="30"/>
      <c r="H525" s="30"/>
      <c r="I525" s="31"/>
      <c r="J525" s="32"/>
      <c r="K525" s="32" t="b">
        <f t="shared" si="16"/>
        <v>0</v>
      </c>
      <c r="L525" s="61">
        <f t="shared" si="17"/>
        <v>0</v>
      </c>
      <c r="M525" s="33"/>
      <c r="N525" s="34"/>
    </row>
    <row r="526" spans="1:14" ht="34.5" customHeight="1" x14ac:dyDescent="0.25">
      <c r="A526" s="26"/>
      <c r="B526" s="35"/>
      <c r="C526" s="27"/>
      <c r="D526" s="28"/>
      <c r="E526" s="36"/>
      <c r="F526" s="36"/>
      <c r="G526" s="30"/>
      <c r="H526" s="30"/>
      <c r="I526" s="31"/>
      <c r="J526" s="32"/>
      <c r="K526" s="32" t="b">
        <f t="shared" si="16"/>
        <v>0</v>
      </c>
      <c r="L526" s="61">
        <f t="shared" si="17"/>
        <v>0</v>
      </c>
      <c r="M526" s="33"/>
      <c r="N526" s="34"/>
    </row>
    <row r="527" spans="1:14" ht="34.5" customHeight="1" x14ac:dyDescent="0.25">
      <c r="A527" s="26"/>
      <c r="B527" s="35"/>
      <c r="C527" s="27"/>
      <c r="D527" s="28"/>
      <c r="E527" s="36"/>
      <c r="F527" s="36"/>
      <c r="G527" s="30"/>
      <c r="H527" s="30"/>
      <c r="I527" s="31"/>
      <c r="J527" s="32"/>
      <c r="K527" s="32" t="b">
        <f t="shared" si="16"/>
        <v>0</v>
      </c>
      <c r="L527" s="61">
        <f t="shared" si="17"/>
        <v>0</v>
      </c>
      <c r="M527" s="33"/>
      <c r="N527" s="34"/>
    </row>
    <row r="528" spans="1:14" ht="34.5" customHeight="1" x14ac:dyDescent="0.25">
      <c r="A528" s="26"/>
      <c r="B528" s="35"/>
      <c r="C528" s="27"/>
      <c r="D528" s="28"/>
      <c r="E528" s="36"/>
      <c r="F528" s="36"/>
      <c r="G528" s="30"/>
      <c r="H528" s="30"/>
      <c r="I528" s="31"/>
      <c r="J528" s="32"/>
      <c r="K528" s="32" t="b">
        <f t="shared" si="16"/>
        <v>0</v>
      </c>
      <c r="L528" s="61">
        <f t="shared" si="17"/>
        <v>0</v>
      </c>
      <c r="M528" s="33"/>
      <c r="N528" s="34"/>
    </row>
    <row r="529" spans="1:14" ht="34.5" customHeight="1" x14ac:dyDescent="0.25">
      <c r="A529" s="26"/>
      <c r="B529" s="35"/>
      <c r="C529" s="27"/>
      <c r="D529" s="28"/>
      <c r="E529" s="36"/>
      <c r="F529" s="36"/>
      <c r="G529" s="30"/>
      <c r="H529" s="30"/>
      <c r="I529" s="31"/>
      <c r="J529" s="32"/>
      <c r="K529" s="32" t="b">
        <f t="shared" si="16"/>
        <v>0</v>
      </c>
      <c r="L529" s="61">
        <f t="shared" si="17"/>
        <v>0</v>
      </c>
      <c r="M529" s="33"/>
      <c r="N529" s="34"/>
    </row>
    <row r="530" spans="1:14" ht="34.5" customHeight="1" x14ac:dyDescent="0.25">
      <c r="A530" s="26"/>
      <c r="B530" s="35"/>
      <c r="C530" s="27"/>
      <c r="D530" s="28"/>
      <c r="E530" s="36"/>
      <c r="F530" s="36"/>
      <c r="G530" s="30"/>
      <c r="H530" s="30"/>
      <c r="I530" s="31"/>
      <c r="J530" s="32"/>
      <c r="K530" s="32" t="b">
        <f t="shared" si="16"/>
        <v>0</v>
      </c>
      <c r="L530" s="61">
        <f t="shared" si="17"/>
        <v>0</v>
      </c>
      <c r="M530" s="33"/>
      <c r="N530" s="34"/>
    </row>
    <row r="531" spans="1:14" ht="34.5" customHeight="1" x14ac:dyDescent="0.25">
      <c r="A531" s="26"/>
      <c r="B531" s="35"/>
      <c r="C531" s="27"/>
      <c r="D531" s="28"/>
      <c r="E531" s="36"/>
      <c r="F531" s="36"/>
      <c r="G531" s="30"/>
      <c r="H531" s="30"/>
      <c r="I531" s="31"/>
      <c r="J531" s="32"/>
      <c r="K531" s="32" t="b">
        <f t="shared" si="16"/>
        <v>0</v>
      </c>
      <c r="L531" s="61">
        <f t="shared" si="17"/>
        <v>0</v>
      </c>
      <c r="M531" s="33"/>
      <c r="N531" s="34"/>
    </row>
    <row r="532" spans="1:14" ht="34.5" customHeight="1" x14ac:dyDescent="0.25">
      <c r="A532" s="26"/>
      <c r="B532" s="35"/>
      <c r="C532" s="27"/>
      <c r="D532" s="28"/>
      <c r="E532" s="36"/>
      <c r="F532" s="36"/>
      <c r="G532" s="30"/>
      <c r="H532" s="30"/>
      <c r="I532" s="31"/>
      <c r="J532" s="32"/>
      <c r="K532" s="32" t="b">
        <f t="shared" si="16"/>
        <v>0</v>
      </c>
      <c r="L532" s="61">
        <f t="shared" si="17"/>
        <v>0</v>
      </c>
      <c r="M532" s="33"/>
      <c r="N532" s="34"/>
    </row>
    <row r="533" spans="1:14" ht="34.5" customHeight="1" x14ac:dyDescent="0.25">
      <c r="A533" s="26"/>
      <c r="B533" s="35"/>
      <c r="C533" s="27"/>
      <c r="D533" s="28"/>
      <c r="E533" s="36"/>
      <c r="F533" s="36"/>
      <c r="G533" s="30"/>
      <c r="H533" s="30"/>
      <c r="I533" s="31"/>
      <c r="J533" s="32"/>
      <c r="K533" s="32" t="b">
        <f t="shared" si="16"/>
        <v>0</v>
      </c>
      <c r="L533" s="61">
        <f t="shared" si="17"/>
        <v>0</v>
      </c>
      <c r="M533" s="33"/>
      <c r="N533" s="34"/>
    </row>
    <row r="534" spans="1:14" ht="34.5" customHeight="1" x14ac:dyDescent="0.25">
      <c r="A534" s="26"/>
      <c r="B534" s="35"/>
      <c r="C534" s="27"/>
      <c r="D534" s="28"/>
      <c r="E534" s="36"/>
      <c r="F534" s="36"/>
      <c r="G534" s="30"/>
      <c r="H534" s="30"/>
      <c r="I534" s="31"/>
      <c r="J534" s="32"/>
      <c r="K534" s="32" t="b">
        <f t="shared" si="16"/>
        <v>0</v>
      </c>
      <c r="L534" s="61">
        <f t="shared" si="17"/>
        <v>0</v>
      </c>
      <c r="M534" s="33"/>
      <c r="N534" s="34"/>
    </row>
    <row r="535" spans="1:14" ht="34.5" customHeight="1" x14ac:dyDescent="0.25">
      <c r="A535" s="26"/>
      <c r="B535" s="35"/>
      <c r="C535" s="27"/>
      <c r="D535" s="28"/>
      <c r="E535" s="36"/>
      <c r="F535" s="36"/>
      <c r="G535" s="30"/>
      <c r="H535" s="30"/>
      <c r="I535" s="31"/>
      <c r="J535" s="32"/>
      <c r="K535" s="32" t="b">
        <f t="shared" si="16"/>
        <v>0</v>
      </c>
      <c r="L535" s="61">
        <f t="shared" si="17"/>
        <v>0</v>
      </c>
      <c r="M535" s="33"/>
      <c r="N535" s="34"/>
    </row>
    <row r="536" spans="1:14" ht="34.5" customHeight="1" x14ac:dyDescent="0.25">
      <c r="A536" s="26"/>
      <c r="B536" s="35"/>
      <c r="C536" s="27"/>
      <c r="D536" s="28"/>
      <c r="E536" s="36"/>
      <c r="F536" s="36"/>
      <c r="G536" s="30"/>
      <c r="H536" s="30"/>
      <c r="I536" s="31"/>
      <c r="J536" s="32"/>
      <c r="K536" s="32" t="b">
        <f t="shared" si="16"/>
        <v>0</v>
      </c>
      <c r="L536" s="61">
        <f t="shared" si="17"/>
        <v>0</v>
      </c>
      <c r="M536" s="33"/>
      <c r="N536" s="34"/>
    </row>
    <row r="537" spans="1:14" ht="34.5" customHeight="1" x14ac:dyDescent="0.25">
      <c r="A537" s="26"/>
      <c r="B537" s="35"/>
      <c r="C537" s="27"/>
      <c r="D537" s="28"/>
      <c r="E537" s="36"/>
      <c r="F537" s="36"/>
      <c r="G537" s="30"/>
      <c r="H537" s="30"/>
      <c r="I537" s="31"/>
      <c r="J537" s="32"/>
      <c r="K537" s="32" t="b">
        <f t="shared" si="16"/>
        <v>0</v>
      </c>
      <c r="L537" s="61">
        <f t="shared" si="17"/>
        <v>0</v>
      </c>
      <c r="M537" s="33"/>
      <c r="N537" s="34"/>
    </row>
    <row r="538" spans="1:14" ht="34.5" customHeight="1" x14ac:dyDescent="0.25">
      <c r="A538" s="26"/>
      <c r="B538" s="35"/>
      <c r="C538" s="27"/>
      <c r="D538" s="28"/>
      <c r="E538" s="36"/>
      <c r="F538" s="36"/>
      <c r="G538" s="30"/>
      <c r="H538" s="30"/>
      <c r="I538" s="31"/>
      <c r="J538" s="32"/>
      <c r="K538" s="32" t="b">
        <f t="shared" si="16"/>
        <v>0</v>
      </c>
      <c r="L538" s="61">
        <f t="shared" si="17"/>
        <v>0</v>
      </c>
      <c r="M538" s="33"/>
      <c r="N538" s="34"/>
    </row>
    <row r="539" spans="1:14" ht="34.5" customHeight="1" x14ac:dyDescent="0.25">
      <c r="A539" s="26"/>
      <c r="B539" s="35"/>
      <c r="C539" s="27"/>
      <c r="D539" s="28"/>
      <c r="E539" s="36"/>
      <c r="F539" s="36"/>
      <c r="G539" s="30"/>
      <c r="H539" s="30"/>
      <c r="I539" s="31"/>
      <c r="J539" s="32"/>
      <c r="K539" s="32" t="b">
        <f t="shared" si="16"/>
        <v>0</v>
      </c>
      <c r="L539" s="61">
        <f t="shared" si="17"/>
        <v>0</v>
      </c>
      <c r="M539" s="33"/>
      <c r="N539" s="34"/>
    </row>
    <row r="540" spans="1:14" ht="34.5" customHeight="1" x14ac:dyDescent="0.25">
      <c r="A540" s="26"/>
      <c r="B540" s="35"/>
      <c r="C540" s="27"/>
      <c r="D540" s="28"/>
      <c r="E540" s="36"/>
      <c r="F540" s="36"/>
      <c r="G540" s="30"/>
      <c r="H540" s="30"/>
      <c r="I540" s="31"/>
      <c r="J540" s="32"/>
      <c r="K540" s="32" t="b">
        <f t="shared" si="16"/>
        <v>0</v>
      </c>
      <c r="L540" s="61">
        <f t="shared" si="17"/>
        <v>0</v>
      </c>
      <c r="M540" s="33"/>
      <c r="N540" s="34"/>
    </row>
    <row r="541" spans="1:14" ht="34.5" customHeight="1" x14ac:dyDescent="0.25">
      <c r="A541" s="26"/>
      <c r="B541" s="35"/>
      <c r="C541" s="27"/>
      <c r="D541" s="28"/>
      <c r="E541" s="36"/>
      <c r="F541" s="36"/>
      <c r="G541" s="30"/>
      <c r="H541" s="30"/>
      <c r="I541" s="31"/>
      <c r="J541" s="32"/>
      <c r="K541" s="32" t="b">
        <f t="shared" si="16"/>
        <v>0</v>
      </c>
      <c r="L541" s="61">
        <f t="shared" si="17"/>
        <v>0</v>
      </c>
      <c r="M541" s="33"/>
      <c r="N541" s="34"/>
    </row>
    <row r="542" spans="1:14" ht="34.5" customHeight="1" x14ac:dyDescent="0.25">
      <c r="A542" s="26"/>
      <c r="B542" s="35"/>
      <c r="C542" s="27"/>
      <c r="D542" s="28"/>
      <c r="E542" s="36"/>
      <c r="F542" s="36"/>
      <c r="G542" s="30"/>
      <c r="H542" s="30"/>
      <c r="I542" s="31"/>
      <c r="J542" s="32"/>
      <c r="K542" s="32" t="b">
        <f t="shared" si="16"/>
        <v>0</v>
      </c>
      <c r="L542" s="61">
        <f t="shared" si="17"/>
        <v>0</v>
      </c>
      <c r="M542" s="33"/>
      <c r="N542" s="34"/>
    </row>
    <row r="543" spans="1:14" ht="34.5" customHeight="1" x14ac:dyDescent="0.25">
      <c r="A543" s="26"/>
      <c r="B543" s="35"/>
      <c r="C543" s="27"/>
      <c r="D543" s="28"/>
      <c r="E543" s="36"/>
      <c r="F543" s="36"/>
      <c r="G543" s="30"/>
      <c r="H543" s="30"/>
      <c r="I543" s="31"/>
      <c r="J543" s="32"/>
      <c r="K543" s="32" t="b">
        <f t="shared" si="16"/>
        <v>0</v>
      </c>
      <c r="L543" s="61">
        <f t="shared" si="17"/>
        <v>0</v>
      </c>
      <c r="M543" s="33"/>
      <c r="N543" s="34"/>
    </row>
    <row r="544" spans="1:14" ht="34.5" customHeight="1" x14ac:dyDescent="0.25">
      <c r="A544" s="26"/>
      <c r="B544" s="35"/>
      <c r="C544" s="27"/>
      <c r="D544" s="28"/>
      <c r="E544" s="36"/>
      <c r="F544" s="36"/>
      <c r="G544" s="30"/>
      <c r="H544" s="30"/>
      <c r="I544" s="31"/>
      <c r="J544" s="32"/>
      <c r="K544" s="32" t="b">
        <f t="shared" si="16"/>
        <v>0</v>
      </c>
      <c r="L544" s="61">
        <f t="shared" si="17"/>
        <v>0</v>
      </c>
      <c r="M544" s="33"/>
      <c r="N544" s="34"/>
    </row>
    <row r="545" spans="1:14" ht="34.5" customHeight="1" x14ac:dyDescent="0.25">
      <c r="A545" s="26"/>
      <c r="B545" s="35"/>
      <c r="C545" s="27"/>
      <c r="D545" s="28"/>
      <c r="E545" s="36"/>
      <c r="F545" s="36"/>
      <c r="G545" s="30"/>
      <c r="H545" s="30"/>
      <c r="I545" s="31"/>
      <c r="J545" s="32"/>
      <c r="K545" s="32" t="b">
        <f t="shared" si="16"/>
        <v>0</v>
      </c>
      <c r="L545" s="61">
        <f t="shared" si="17"/>
        <v>0</v>
      </c>
      <c r="M545" s="33"/>
      <c r="N545" s="34"/>
    </row>
    <row r="546" spans="1:14" ht="34.5" customHeight="1" x14ac:dyDescent="0.25">
      <c r="A546" s="26"/>
      <c r="B546" s="35"/>
      <c r="C546" s="27"/>
      <c r="D546" s="28"/>
      <c r="E546" s="36"/>
      <c r="F546" s="36"/>
      <c r="G546" s="30"/>
      <c r="H546" s="30"/>
      <c r="I546" s="31"/>
      <c r="J546" s="32"/>
      <c r="K546" s="32" t="b">
        <f t="shared" si="16"/>
        <v>0</v>
      </c>
      <c r="L546" s="61">
        <f t="shared" si="17"/>
        <v>0</v>
      </c>
      <c r="M546" s="33"/>
      <c r="N546" s="34"/>
    </row>
    <row r="547" spans="1:14" ht="34.5" customHeight="1" x14ac:dyDescent="0.25">
      <c r="A547" s="26"/>
      <c r="B547" s="35"/>
      <c r="C547" s="27"/>
      <c r="D547" s="28"/>
      <c r="E547" s="36"/>
      <c r="F547" s="36"/>
      <c r="G547" s="30"/>
      <c r="H547" s="30"/>
      <c r="I547" s="31"/>
      <c r="J547" s="32"/>
      <c r="K547" s="32" t="b">
        <f t="shared" si="16"/>
        <v>0</v>
      </c>
      <c r="L547" s="61">
        <f t="shared" si="17"/>
        <v>0</v>
      </c>
      <c r="M547" s="33"/>
      <c r="N547" s="34"/>
    </row>
    <row r="548" spans="1:14" ht="34.5" customHeight="1" x14ac:dyDescent="0.25">
      <c r="A548" s="26"/>
      <c r="B548" s="35"/>
      <c r="C548" s="27"/>
      <c r="D548" s="28"/>
      <c r="E548" s="36"/>
      <c r="F548" s="36"/>
      <c r="G548" s="30"/>
      <c r="H548" s="30"/>
      <c r="I548" s="31"/>
      <c r="J548" s="32"/>
      <c r="K548" s="32" t="b">
        <f t="shared" si="16"/>
        <v>0</v>
      </c>
      <c r="L548" s="61">
        <f t="shared" si="17"/>
        <v>0</v>
      </c>
      <c r="M548" s="33"/>
      <c r="N548" s="34"/>
    </row>
    <row r="549" spans="1:14" ht="34.5" customHeight="1" x14ac:dyDescent="0.25">
      <c r="A549" s="26"/>
      <c r="B549" s="35"/>
      <c r="C549" s="27"/>
      <c r="D549" s="28"/>
      <c r="E549" s="36"/>
      <c r="F549" s="36"/>
      <c r="G549" s="30"/>
      <c r="H549" s="30"/>
      <c r="I549" s="31"/>
      <c r="J549" s="32"/>
      <c r="K549" s="32" t="b">
        <f t="shared" si="16"/>
        <v>0</v>
      </c>
      <c r="L549" s="61">
        <f t="shared" si="17"/>
        <v>0</v>
      </c>
      <c r="M549" s="33"/>
      <c r="N549" s="34"/>
    </row>
    <row r="550" spans="1:14" ht="34.5" customHeight="1" x14ac:dyDescent="0.25">
      <c r="A550" s="26"/>
      <c r="B550" s="35"/>
      <c r="C550" s="27"/>
      <c r="D550" s="28"/>
      <c r="E550" s="36"/>
      <c r="F550" s="36"/>
      <c r="G550" s="30"/>
      <c r="H550" s="30"/>
      <c r="I550" s="31"/>
      <c r="J550" s="32"/>
      <c r="K550" s="32" t="b">
        <f t="shared" si="16"/>
        <v>0</v>
      </c>
      <c r="L550" s="61">
        <f t="shared" si="17"/>
        <v>0</v>
      </c>
      <c r="M550" s="33"/>
      <c r="N550" s="34"/>
    </row>
    <row r="551" spans="1:14" ht="34.5" customHeight="1" x14ac:dyDescent="0.25">
      <c r="A551" s="26"/>
      <c r="B551" s="35"/>
      <c r="C551" s="27"/>
      <c r="D551" s="28"/>
      <c r="E551" s="36"/>
      <c r="F551" s="36"/>
      <c r="G551" s="30"/>
      <c r="H551" s="30"/>
      <c r="I551" s="31"/>
      <c r="J551" s="32"/>
      <c r="K551" s="32" t="b">
        <f t="shared" si="16"/>
        <v>0</v>
      </c>
      <c r="L551" s="61">
        <f t="shared" si="17"/>
        <v>0</v>
      </c>
      <c r="M551" s="33"/>
      <c r="N551" s="34"/>
    </row>
    <row r="552" spans="1:14" ht="34.5" customHeight="1" x14ac:dyDescent="0.25">
      <c r="A552" s="26"/>
      <c r="B552" s="35"/>
      <c r="C552" s="27"/>
      <c r="D552" s="28"/>
      <c r="E552" s="36"/>
      <c r="F552" s="36"/>
      <c r="G552" s="30"/>
      <c r="H552" s="30"/>
      <c r="I552" s="31"/>
      <c r="J552" s="32"/>
      <c r="K552" s="32" t="b">
        <f t="shared" si="16"/>
        <v>0</v>
      </c>
      <c r="L552" s="61">
        <f t="shared" si="17"/>
        <v>0</v>
      </c>
      <c r="M552" s="33"/>
      <c r="N552" s="34"/>
    </row>
    <row r="553" spans="1:14" ht="34.5" customHeight="1" x14ac:dyDescent="0.25">
      <c r="A553" s="26"/>
      <c r="B553" s="35"/>
      <c r="C553" s="27"/>
      <c r="D553" s="28"/>
      <c r="E553" s="36"/>
      <c r="F553" s="36"/>
      <c r="G553" s="30"/>
      <c r="H553" s="30"/>
      <c r="I553" s="31"/>
      <c r="J553" s="32"/>
      <c r="K553" s="32" t="b">
        <f t="shared" si="16"/>
        <v>0</v>
      </c>
      <c r="L553" s="61">
        <f t="shared" si="17"/>
        <v>0</v>
      </c>
      <c r="M553" s="33"/>
      <c r="N553" s="34"/>
    </row>
    <row r="554" spans="1:14" ht="34.5" customHeight="1" x14ac:dyDescent="0.25">
      <c r="A554" s="26"/>
      <c r="B554" s="35"/>
      <c r="C554" s="27"/>
      <c r="D554" s="28"/>
      <c r="E554" s="36"/>
      <c r="F554" s="36"/>
      <c r="G554" s="30"/>
      <c r="H554" s="30"/>
      <c r="I554" s="31"/>
      <c r="J554" s="32"/>
      <c r="K554" s="32" t="b">
        <f t="shared" si="16"/>
        <v>0</v>
      </c>
      <c r="L554" s="61">
        <f t="shared" si="17"/>
        <v>0</v>
      </c>
      <c r="M554" s="33"/>
      <c r="N554" s="34"/>
    </row>
    <row r="555" spans="1:14" ht="34.5" customHeight="1" x14ac:dyDescent="0.25">
      <c r="A555" s="26"/>
      <c r="B555" s="35"/>
      <c r="C555" s="27"/>
      <c r="D555" s="28"/>
      <c r="E555" s="36"/>
      <c r="F555" s="36"/>
      <c r="G555" s="30"/>
      <c r="H555" s="30"/>
      <c r="I555" s="31"/>
      <c r="J555" s="32"/>
      <c r="K555" s="32" t="b">
        <f t="shared" si="16"/>
        <v>0</v>
      </c>
      <c r="L555" s="61">
        <f t="shared" si="17"/>
        <v>0</v>
      </c>
      <c r="M555" s="33"/>
      <c r="N555" s="34"/>
    </row>
    <row r="556" spans="1:14" ht="34.5" customHeight="1" x14ac:dyDescent="0.25">
      <c r="A556" s="26"/>
      <c r="B556" s="35"/>
      <c r="C556" s="27"/>
      <c r="D556" s="28"/>
      <c r="E556" s="36"/>
      <c r="F556" s="36"/>
      <c r="G556" s="30"/>
      <c r="H556" s="30"/>
      <c r="I556" s="31"/>
      <c r="J556" s="32"/>
      <c r="K556" s="32" t="b">
        <f t="shared" si="16"/>
        <v>0</v>
      </c>
      <c r="L556" s="61">
        <f t="shared" si="17"/>
        <v>0</v>
      </c>
      <c r="M556" s="33"/>
      <c r="N556" s="34"/>
    </row>
    <row r="557" spans="1:14" ht="34.5" customHeight="1" x14ac:dyDescent="0.25">
      <c r="A557" s="26"/>
      <c r="B557" s="35"/>
      <c r="C557" s="27"/>
      <c r="D557" s="28"/>
      <c r="E557" s="36"/>
      <c r="F557" s="36"/>
      <c r="G557" s="30"/>
      <c r="H557" s="30"/>
      <c r="I557" s="31"/>
      <c r="J557" s="32"/>
      <c r="K557" s="32" t="b">
        <f t="shared" si="16"/>
        <v>0</v>
      </c>
      <c r="L557" s="61">
        <f t="shared" si="17"/>
        <v>0</v>
      </c>
      <c r="M557" s="33"/>
      <c r="N557" s="34"/>
    </row>
    <row r="558" spans="1:14" ht="34.5" customHeight="1" x14ac:dyDescent="0.25">
      <c r="A558" s="26"/>
      <c r="B558" s="35"/>
      <c r="C558" s="27"/>
      <c r="D558" s="28"/>
      <c r="E558" s="36"/>
      <c r="F558" s="36"/>
      <c r="G558" s="30"/>
      <c r="H558" s="30"/>
      <c r="I558" s="31"/>
      <c r="J558" s="32"/>
      <c r="K558" s="32" t="b">
        <f t="shared" si="16"/>
        <v>0</v>
      </c>
      <c r="L558" s="61">
        <f t="shared" si="17"/>
        <v>0</v>
      </c>
      <c r="M558" s="33"/>
      <c r="N558" s="34"/>
    </row>
    <row r="559" spans="1:14" ht="34.5" customHeight="1" x14ac:dyDescent="0.25">
      <c r="A559" s="26"/>
      <c r="B559" s="35"/>
      <c r="C559" s="27"/>
      <c r="D559" s="28"/>
      <c r="E559" s="36"/>
      <c r="F559" s="36"/>
      <c r="G559" s="30"/>
      <c r="H559" s="30"/>
      <c r="I559" s="31"/>
      <c r="J559" s="32"/>
      <c r="K559" s="32" t="b">
        <f t="shared" si="16"/>
        <v>0</v>
      </c>
      <c r="L559" s="61">
        <f t="shared" si="17"/>
        <v>0</v>
      </c>
      <c r="M559" s="33"/>
      <c r="N559" s="34"/>
    </row>
    <row r="560" spans="1:14" ht="34.5" customHeight="1" x14ac:dyDescent="0.25">
      <c r="A560" s="26"/>
      <c r="B560" s="35"/>
      <c r="C560" s="27"/>
      <c r="D560" s="28"/>
      <c r="E560" s="36"/>
      <c r="F560" s="36"/>
      <c r="G560" s="30"/>
      <c r="H560" s="30"/>
      <c r="I560" s="31"/>
      <c r="J560" s="32"/>
      <c r="K560" s="32" t="b">
        <f t="shared" si="16"/>
        <v>0</v>
      </c>
      <c r="L560" s="61">
        <f t="shared" si="17"/>
        <v>0</v>
      </c>
      <c r="M560" s="33"/>
      <c r="N560" s="34"/>
    </row>
    <row r="561" spans="1:14" ht="34.5" customHeight="1" x14ac:dyDescent="0.25">
      <c r="A561" s="26"/>
      <c r="B561" s="35"/>
      <c r="C561" s="27"/>
      <c r="D561" s="28"/>
      <c r="E561" s="36"/>
      <c r="F561" s="36"/>
      <c r="G561" s="30"/>
      <c r="H561" s="30"/>
      <c r="I561" s="31"/>
      <c r="J561" s="32"/>
      <c r="K561" s="32" t="b">
        <f t="shared" si="16"/>
        <v>0</v>
      </c>
      <c r="L561" s="61">
        <f t="shared" si="17"/>
        <v>0</v>
      </c>
      <c r="M561" s="33"/>
      <c r="N561" s="34"/>
    </row>
    <row r="562" spans="1:14" ht="34.5" customHeight="1" x14ac:dyDescent="0.25">
      <c r="A562" s="26"/>
      <c r="B562" s="35"/>
      <c r="C562" s="27"/>
      <c r="D562" s="28"/>
      <c r="E562" s="36"/>
      <c r="F562" s="36"/>
      <c r="G562" s="30"/>
      <c r="H562" s="30"/>
      <c r="I562" s="31"/>
      <c r="J562" s="32"/>
      <c r="K562" s="32" t="b">
        <f t="shared" si="16"/>
        <v>0</v>
      </c>
      <c r="L562" s="61">
        <f t="shared" si="17"/>
        <v>0</v>
      </c>
      <c r="M562" s="33"/>
      <c r="N562" s="34"/>
    </row>
    <row r="563" spans="1:14" ht="34.5" customHeight="1" x14ac:dyDescent="0.25">
      <c r="A563" s="26"/>
      <c r="B563" s="35"/>
      <c r="C563" s="27"/>
      <c r="D563" s="28"/>
      <c r="E563" s="36"/>
      <c r="F563" s="36"/>
      <c r="G563" s="30"/>
      <c r="H563" s="30"/>
      <c r="I563" s="31"/>
      <c r="J563" s="32"/>
      <c r="K563" s="32" t="b">
        <f t="shared" si="16"/>
        <v>0</v>
      </c>
      <c r="L563" s="61">
        <f t="shared" si="17"/>
        <v>0</v>
      </c>
      <c r="M563" s="33"/>
      <c r="N563" s="34"/>
    </row>
    <row r="564" spans="1:14" ht="34.5" customHeight="1" x14ac:dyDescent="0.25">
      <c r="A564" s="26"/>
      <c r="B564" s="35"/>
      <c r="C564" s="27"/>
      <c r="D564" s="28"/>
      <c r="E564" s="36"/>
      <c r="F564" s="36"/>
      <c r="G564" s="30"/>
      <c r="H564" s="30"/>
      <c r="I564" s="31"/>
      <c r="J564" s="32"/>
      <c r="K564" s="32" t="b">
        <f t="shared" si="16"/>
        <v>0</v>
      </c>
      <c r="L564" s="61">
        <f t="shared" si="17"/>
        <v>0</v>
      </c>
      <c r="M564" s="33"/>
      <c r="N564" s="34"/>
    </row>
    <row r="565" spans="1:14" ht="34.5" customHeight="1" x14ac:dyDescent="0.25">
      <c r="A565" s="26"/>
      <c r="B565" s="35"/>
      <c r="C565" s="27"/>
      <c r="D565" s="28"/>
      <c r="E565" s="36"/>
      <c r="F565" s="36"/>
      <c r="G565" s="30"/>
      <c r="H565" s="30"/>
      <c r="I565" s="31"/>
      <c r="J565" s="32"/>
      <c r="K565" s="32" t="b">
        <f t="shared" si="16"/>
        <v>0</v>
      </c>
      <c r="L565" s="61">
        <f t="shared" si="17"/>
        <v>0</v>
      </c>
      <c r="M565" s="33"/>
      <c r="N565" s="34"/>
    </row>
    <row r="566" spans="1:14" ht="34.5" customHeight="1" x14ac:dyDescent="0.25">
      <c r="A566" s="26"/>
      <c r="B566" s="35"/>
      <c r="C566" s="27"/>
      <c r="D566" s="28"/>
      <c r="E566" s="36"/>
      <c r="F566" s="36"/>
      <c r="G566" s="30"/>
      <c r="H566" s="30"/>
      <c r="I566" s="31"/>
      <c r="J566" s="32"/>
      <c r="K566" s="32" t="b">
        <f t="shared" si="16"/>
        <v>0</v>
      </c>
      <c r="L566" s="61">
        <f t="shared" si="17"/>
        <v>0</v>
      </c>
      <c r="M566" s="33"/>
      <c r="N566" s="34"/>
    </row>
    <row r="567" spans="1:14" ht="34.5" customHeight="1" x14ac:dyDescent="0.25">
      <c r="A567" s="26"/>
      <c r="B567" s="35"/>
      <c r="C567" s="27"/>
      <c r="D567" s="28"/>
      <c r="E567" s="36"/>
      <c r="F567" s="36"/>
      <c r="G567" s="30"/>
      <c r="H567" s="30"/>
      <c r="I567" s="31"/>
      <c r="J567" s="32"/>
      <c r="K567" s="32" t="b">
        <f t="shared" si="16"/>
        <v>0</v>
      </c>
      <c r="L567" s="61">
        <f t="shared" si="17"/>
        <v>0</v>
      </c>
      <c r="M567" s="33"/>
      <c r="N567" s="34"/>
    </row>
    <row r="568" spans="1:14" ht="34.5" customHeight="1" x14ac:dyDescent="0.25">
      <c r="A568" s="26"/>
      <c r="B568" s="35"/>
      <c r="C568" s="27"/>
      <c r="D568" s="28"/>
      <c r="E568" s="36"/>
      <c r="F568" s="36"/>
      <c r="G568" s="30"/>
      <c r="H568" s="30"/>
      <c r="I568" s="31"/>
      <c r="J568" s="32"/>
      <c r="K568" s="32" t="b">
        <f t="shared" si="16"/>
        <v>0</v>
      </c>
      <c r="L568" s="61">
        <f t="shared" si="17"/>
        <v>0</v>
      </c>
      <c r="M568" s="33"/>
      <c r="N568" s="34"/>
    </row>
    <row r="569" spans="1:14" ht="34.5" customHeight="1" x14ac:dyDescent="0.25">
      <c r="A569" s="26"/>
      <c r="B569" s="35"/>
      <c r="C569" s="27"/>
      <c r="D569" s="28"/>
      <c r="E569" s="36"/>
      <c r="F569" s="36"/>
      <c r="G569" s="30"/>
      <c r="H569" s="30"/>
      <c r="I569" s="31"/>
      <c r="J569" s="32"/>
      <c r="K569" s="32" t="b">
        <f t="shared" si="16"/>
        <v>0</v>
      </c>
      <c r="L569" s="61">
        <f t="shared" si="17"/>
        <v>0</v>
      </c>
      <c r="M569" s="33"/>
      <c r="N569" s="34"/>
    </row>
    <row r="570" spans="1:14" ht="34.5" customHeight="1" x14ac:dyDescent="0.25">
      <c r="A570" s="26"/>
      <c r="B570" s="35"/>
      <c r="C570" s="27"/>
      <c r="D570" s="28"/>
      <c r="E570" s="36"/>
      <c r="F570" s="36"/>
      <c r="G570" s="30"/>
      <c r="H570" s="30"/>
      <c r="I570" s="31"/>
      <c r="J570" s="32"/>
      <c r="K570" s="32" t="b">
        <f t="shared" si="16"/>
        <v>0</v>
      </c>
      <c r="L570" s="61">
        <f t="shared" si="17"/>
        <v>0</v>
      </c>
      <c r="M570" s="33"/>
      <c r="N570" s="34"/>
    </row>
    <row r="571" spans="1:14" ht="34.5" customHeight="1" x14ac:dyDescent="0.25">
      <c r="A571" s="26"/>
      <c r="B571" s="35"/>
      <c r="C571" s="27"/>
      <c r="D571" s="28"/>
      <c r="E571" s="36"/>
      <c r="F571" s="36"/>
      <c r="G571" s="30"/>
      <c r="H571" s="30"/>
      <c r="I571" s="31"/>
      <c r="J571" s="32"/>
      <c r="K571" s="32" t="b">
        <f t="shared" si="16"/>
        <v>0</v>
      </c>
      <c r="L571" s="61">
        <f t="shared" si="17"/>
        <v>0</v>
      </c>
      <c r="M571" s="33"/>
      <c r="N571" s="34"/>
    </row>
    <row r="572" spans="1:14" ht="34.5" customHeight="1" x14ac:dyDescent="0.25">
      <c r="A572" s="26"/>
      <c r="B572" s="35"/>
      <c r="C572" s="27"/>
      <c r="D572" s="28"/>
      <c r="E572" s="36"/>
      <c r="F572" s="36"/>
      <c r="G572" s="30"/>
      <c r="H572" s="30"/>
      <c r="I572" s="31"/>
      <c r="J572" s="32"/>
      <c r="K572" s="32" t="b">
        <f t="shared" si="16"/>
        <v>0</v>
      </c>
      <c r="L572" s="61">
        <f t="shared" si="17"/>
        <v>0</v>
      </c>
      <c r="M572" s="33"/>
      <c r="N572" s="34"/>
    </row>
    <row r="573" spans="1:14" ht="34.5" customHeight="1" x14ac:dyDescent="0.25">
      <c r="A573" s="26"/>
      <c r="B573" s="35"/>
      <c r="C573" s="27"/>
      <c r="D573" s="28"/>
      <c r="E573" s="36"/>
      <c r="F573" s="36"/>
      <c r="G573" s="30"/>
      <c r="H573" s="30"/>
      <c r="I573" s="31"/>
      <c r="J573" s="32"/>
      <c r="K573" s="32" t="b">
        <f t="shared" si="16"/>
        <v>0</v>
      </c>
      <c r="L573" s="61">
        <f t="shared" si="17"/>
        <v>0</v>
      </c>
      <c r="M573" s="33"/>
      <c r="N573" s="34"/>
    </row>
    <row r="574" spans="1:14" ht="34.5" customHeight="1" x14ac:dyDescent="0.25">
      <c r="A574" s="26"/>
      <c r="B574" s="35"/>
      <c r="C574" s="27"/>
      <c r="D574" s="28"/>
      <c r="E574" s="36"/>
      <c r="F574" s="36"/>
      <c r="G574" s="30"/>
      <c r="H574" s="30"/>
      <c r="I574" s="31"/>
      <c r="J574" s="32"/>
      <c r="K574" s="32" t="b">
        <f t="shared" si="16"/>
        <v>0</v>
      </c>
      <c r="L574" s="61">
        <f t="shared" si="17"/>
        <v>0</v>
      </c>
      <c r="M574" s="33"/>
      <c r="N574" s="34"/>
    </row>
    <row r="575" spans="1:14" ht="34.5" customHeight="1" x14ac:dyDescent="0.25">
      <c r="A575" s="26"/>
      <c r="B575" s="35"/>
      <c r="C575" s="27"/>
      <c r="D575" s="28"/>
      <c r="E575" s="36"/>
      <c r="F575" s="36"/>
      <c r="G575" s="30"/>
      <c r="H575" s="30"/>
      <c r="I575" s="31"/>
      <c r="J575" s="32"/>
      <c r="K575" s="32" t="b">
        <f t="shared" si="16"/>
        <v>0</v>
      </c>
      <c r="L575" s="61">
        <f t="shared" si="17"/>
        <v>0</v>
      </c>
      <c r="M575" s="33"/>
      <c r="N575" s="34"/>
    </row>
    <row r="576" spans="1:14" ht="34.5" customHeight="1" x14ac:dyDescent="0.25">
      <c r="A576" s="26"/>
      <c r="B576" s="35"/>
      <c r="C576" s="27"/>
      <c r="D576" s="28"/>
      <c r="E576" s="36"/>
      <c r="F576" s="36"/>
      <c r="G576" s="30"/>
      <c r="H576" s="30"/>
      <c r="I576" s="31"/>
      <c r="J576" s="32"/>
      <c r="K576" s="32" t="b">
        <f t="shared" si="16"/>
        <v>0</v>
      </c>
      <c r="L576" s="61">
        <f t="shared" si="17"/>
        <v>0</v>
      </c>
      <c r="M576" s="33"/>
      <c r="N576" s="34"/>
    </row>
    <row r="577" spans="1:14" ht="34.5" customHeight="1" x14ac:dyDescent="0.25">
      <c r="A577" s="26"/>
      <c r="B577" s="35"/>
      <c r="C577" s="27"/>
      <c r="D577" s="28"/>
      <c r="E577" s="36"/>
      <c r="F577" s="36"/>
      <c r="G577" s="30"/>
      <c r="H577" s="30"/>
      <c r="I577" s="31"/>
      <c r="J577" s="32"/>
      <c r="K577" s="32" t="b">
        <f t="shared" si="16"/>
        <v>0</v>
      </c>
      <c r="L577" s="61">
        <f t="shared" si="17"/>
        <v>0</v>
      </c>
      <c r="M577" s="33"/>
      <c r="N577" s="34"/>
    </row>
    <row r="578" spans="1:14" ht="34.5" customHeight="1" x14ac:dyDescent="0.25">
      <c r="A578" s="26"/>
      <c r="B578" s="35"/>
      <c r="C578" s="27"/>
      <c r="D578" s="28"/>
      <c r="E578" s="36"/>
      <c r="F578" s="36"/>
      <c r="G578" s="30"/>
      <c r="H578" s="30"/>
      <c r="I578" s="31"/>
      <c r="J578" s="32"/>
      <c r="K578" s="32" t="b">
        <f t="shared" si="16"/>
        <v>0</v>
      </c>
      <c r="L578" s="61">
        <f t="shared" si="17"/>
        <v>0</v>
      </c>
      <c r="M578" s="33"/>
      <c r="N578" s="34"/>
    </row>
    <row r="579" spans="1:14" ht="34.5" customHeight="1" x14ac:dyDescent="0.25">
      <c r="A579" s="26"/>
      <c r="B579" s="35"/>
      <c r="C579" s="27"/>
      <c r="D579" s="28"/>
      <c r="E579" s="36"/>
      <c r="F579" s="36"/>
      <c r="G579" s="30"/>
      <c r="H579" s="30"/>
      <c r="I579" s="31"/>
      <c r="J579" s="32"/>
      <c r="K579" s="32" t="b">
        <f t="shared" si="16"/>
        <v>0</v>
      </c>
      <c r="L579" s="61">
        <f t="shared" si="17"/>
        <v>0</v>
      </c>
      <c r="M579" s="33"/>
      <c r="N579" s="34"/>
    </row>
    <row r="580" spans="1:14" ht="34.5" customHeight="1" x14ac:dyDescent="0.25">
      <c r="A580" s="26"/>
      <c r="B580" s="35"/>
      <c r="C580" s="27"/>
      <c r="D580" s="28"/>
      <c r="E580" s="36"/>
      <c r="F580" s="36"/>
      <c r="G580" s="30"/>
      <c r="H580" s="30"/>
      <c r="I580" s="31"/>
      <c r="J580" s="32"/>
      <c r="K580" s="32" t="b">
        <f t="shared" si="16"/>
        <v>0</v>
      </c>
      <c r="L580" s="61">
        <f t="shared" si="17"/>
        <v>0</v>
      </c>
      <c r="M580" s="33"/>
      <c r="N580" s="34"/>
    </row>
    <row r="581" spans="1:14" ht="34.5" customHeight="1" x14ac:dyDescent="0.25">
      <c r="A581" s="26"/>
      <c r="B581" s="35"/>
      <c r="C581" s="27"/>
      <c r="D581" s="28"/>
      <c r="E581" s="36"/>
      <c r="F581" s="36"/>
      <c r="G581" s="30"/>
      <c r="H581" s="30"/>
      <c r="I581" s="31"/>
      <c r="J581" s="32"/>
      <c r="K581" s="32" t="b">
        <f t="shared" ref="K581:K616" si="18">IF(J581="b","0,6",IF(J581="r","0,2",IF(J581="o",0.8)))</f>
        <v>0</v>
      </c>
      <c r="L581" s="61">
        <f t="shared" ref="L581:L616" si="19">K581*I581</f>
        <v>0</v>
      </c>
      <c r="M581" s="33"/>
      <c r="N581" s="34"/>
    </row>
    <row r="582" spans="1:14" ht="34.5" customHeight="1" x14ac:dyDescent="0.25">
      <c r="A582" s="26"/>
      <c r="B582" s="35"/>
      <c r="C582" s="27"/>
      <c r="D582" s="28"/>
      <c r="E582" s="36"/>
      <c r="F582" s="36"/>
      <c r="G582" s="30"/>
      <c r="H582" s="30"/>
      <c r="I582" s="31"/>
      <c r="J582" s="32"/>
      <c r="K582" s="32" t="b">
        <f t="shared" si="18"/>
        <v>0</v>
      </c>
      <c r="L582" s="61">
        <f t="shared" si="19"/>
        <v>0</v>
      </c>
      <c r="M582" s="33"/>
      <c r="N582" s="34"/>
    </row>
    <row r="583" spans="1:14" ht="34.5" customHeight="1" x14ac:dyDescent="0.25">
      <c r="A583" s="26"/>
      <c r="B583" s="35"/>
      <c r="C583" s="27"/>
      <c r="D583" s="28"/>
      <c r="E583" s="36"/>
      <c r="F583" s="36"/>
      <c r="G583" s="30"/>
      <c r="H583" s="30"/>
      <c r="I583" s="31"/>
      <c r="J583" s="32"/>
      <c r="K583" s="32" t="b">
        <f t="shared" si="18"/>
        <v>0</v>
      </c>
      <c r="L583" s="61">
        <f t="shared" si="19"/>
        <v>0</v>
      </c>
      <c r="M583" s="33"/>
      <c r="N583" s="34"/>
    </row>
    <row r="584" spans="1:14" ht="34.5" customHeight="1" x14ac:dyDescent="0.25">
      <c r="A584" s="26"/>
      <c r="B584" s="35"/>
      <c r="C584" s="27"/>
      <c r="D584" s="28"/>
      <c r="E584" s="36"/>
      <c r="F584" s="36"/>
      <c r="G584" s="30"/>
      <c r="H584" s="30"/>
      <c r="I584" s="31"/>
      <c r="J584" s="32"/>
      <c r="K584" s="32" t="b">
        <f t="shared" si="18"/>
        <v>0</v>
      </c>
      <c r="L584" s="61">
        <f t="shared" si="19"/>
        <v>0</v>
      </c>
      <c r="M584" s="33"/>
      <c r="N584" s="34"/>
    </row>
    <row r="585" spans="1:14" ht="34.5" customHeight="1" x14ac:dyDescent="0.25">
      <c r="A585" s="26"/>
      <c r="B585" s="35"/>
      <c r="C585" s="27"/>
      <c r="D585" s="28"/>
      <c r="E585" s="36"/>
      <c r="F585" s="36"/>
      <c r="G585" s="30"/>
      <c r="H585" s="30"/>
      <c r="I585" s="31"/>
      <c r="J585" s="32"/>
      <c r="K585" s="32" t="b">
        <f t="shared" si="18"/>
        <v>0</v>
      </c>
      <c r="L585" s="61">
        <f t="shared" si="19"/>
        <v>0</v>
      </c>
      <c r="M585" s="33"/>
      <c r="N585" s="34"/>
    </row>
    <row r="586" spans="1:14" ht="34.5" customHeight="1" x14ac:dyDescent="0.25">
      <c r="A586" s="26"/>
      <c r="B586" s="35"/>
      <c r="C586" s="27"/>
      <c r="D586" s="28"/>
      <c r="E586" s="36"/>
      <c r="F586" s="36"/>
      <c r="G586" s="30"/>
      <c r="H586" s="30"/>
      <c r="I586" s="31"/>
      <c r="J586" s="32"/>
      <c r="K586" s="32" t="b">
        <f t="shared" si="18"/>
        <v>0</v>
      </c>
      <c r="L586" s="61">
        <f t="shared" si="19"/>
        <v>0</v>
      </c>
      <c r="M586" s="33"/>
      <c r="N586" s="34"/>
    </row>
    <row r="587" spans="1:14" ht="34.5" customHeight="1" x14ac:dyDescent="0.25">
      <c r="A587" s="26"/>
      <c r="B587" s="35"/>
      <c r="C587" s="27"/>
      <c r="D587" s="28"/>
      <c r="E587" s="36"/>
      <c r="F587" s="36"/>
      <c r="G587" s="30"/>
      <c r="H587" s="30"/>
      <c r="I587" s="31"/>
      <c r="J587" s="32"/>
      <c r="K587" s="32" t="b">
        <f t="shared" si="18"/>
        <v>0</v>
      </c>
      <c r="L587" s="61">
        <f t="shared" si="19"/>
        <v>0</v>
      </c>
      <c r="M587" s="33"/>
      <c r="N587" s="34"/>
    </row>
    <row r="588" spans="1:14" ht="34.5" customHeight="1" x14ac:dyDescent="0.25">
      <c r="A588" s="26"/>
      <c r="B588" s="16"/>
      <c r="C588" s="13"/>
      <c r="D588" s="28"/>
      <c r="E588" s="17"/>
      <c r="F588" s="17"/>
      <c r="G588" s="14"/>
      <c r="H588" s="14"/>
      <c r="I588" s="19"/>
      <c r="J588" s="1"/>
      <c r="K588" s="32" t="b">
        <f t="shared" si="18"/>
        <v>0</v>
      </c>
      <c r="L588" s="61">
        <f t="shared" si="19"/>
        <v>0</v>
      </c>
      <c r="M588" s="15"/>
      <c r="N588" s="7"/>
    </row>
    <row r="589" spans="1:14" ht="34.5" customHeight="1" x14ac:dyDescent="0.25">
      <c r="A589" s="26"/>
      <c r="B589" s="16"/>
      <c r="C589" s="13"/>
      <c r="D589" s="28"/>
      <c r="E589" s="17"/>
      <c r="F589" s="17"/>
      <c r="G589" s="14"/>
      <c r="H589" s="14"/>
      <c r="I589" s="19"/>
      <c r="J589" s="1"/>
      <c r="K589" s="32" t="b">
        <f t="shared" si="18"/>
        <v>0</v>
      </c>
      <c r="L589" s="61">
        <f t="shared" si="19"/>
        <v>0</v>
      </c>
      <c r="M589" s="15"/>
      <c r="N589" s="7"/>
    </row>
    <row r="590" spans="1:14" ht="34.5" customHeight="1" x14ac:dyDescent="0.25">
      <c r="A590" s="26"/>
      <c r="B590" s="16"/>
      <c r="C590" s="13"/>
      <c r="D590" s="28"/>
      <c r="E590" s="17"/>
      <c r="F590" s="17"/>
      <c r="G590" s="14"/>
      <c r="H590" s="14"/>
      <c r="I590" s="19"/>
      <c r="J590" s="25"/>
      <c r="K590" s="32" t="b">
        <f t="shared" si="18"/>
        <v>0</v>
      </c>
      <c r="L590" s="61">
        <f t="shared" si="19"/>
        <v>0</v>
      </c>
      <c r="M590" s="15"/>
      <c r="N590" s="7"/>
    </row>
    <row r="591" spans="1:14" ht="34.5" customHeight="1" x14ac:dyDescent="0.25">
      <c r="A591" s="26"/>
      <c r="B591" s="16"/>
      <c r="C591" s="13"/>
      <c r="D591" s="28"/>
      <c r="E591" s="17"/>
      <c r="F591" s="17"/>
      <c r="G591" s="14"/>
      <c r="H591" s="14"/>
      <c r="I591" s="19"/>
      <c r="J591" s="1"/>
      <c r="K591" s="32" t="b">
        <f t="shared" si="18"/>
        <v>0</v>
      </c>
      <c r="L591" s="61">
        <f t="shared" si="19"/>
        <v>0</v>
      </c>
      <c r="M591" s="15"/>
      <c r="N591" s="7"/>
    </row>
    <row r="592" spans="1:14" ht="34.5" customHeight="1" x14ac:dyDescent="0.25">
      <c r="A592" s="26"/>
      <c r="B592" s="16"/>
      <c r="C592" s="13"/>
      <c r="D592" s="28"/>
      <c r="E592" s="17"/>
      <c r="F592" s="17"/>
      <c r="G592" s="14"/>
      <c r="H592" s="14"/>
      <c r="I592" s="19"/>
      <c r="J592" s="1"/>
      <c r="K592" s="32" t="b">
        <f t="shared" si="18"/>
        <v>0</v>
      </c>
      <c r="L592" s="61">
        <f t="shared" si="19"/>
        <v>0</v>
      </c>
      <c r="M592" s="15"/>
      <c r="N592" s="7"/>
    </row>
    <row r="593" spans="1:14" ht="34.5" customHeight="1" x14ac:dyDescent="0.25">
      <c r="A593" s="26"/>
      <c r="B593" s="16"/>
      <c r="C593" s="13"/>
      <c r="D593" s="28"/>
      <c r="E593" s="17"/>
      <c r="F593" s="17"/>
      <c r="G593" s="14"/>
      <c r="H593" s="14"/>
      <c r="I593" s="19"/>
      <c r="J593" s="1"/>
      <c r="K593" s="32" t="b">
        <f t="shared" si="18"/>
        <v>0</v>
      </c>
      <c r="L593" s="61">
        <f t="shared" si="19"/>
        <v>0</v>
      </c>
      <c r="M593" s="15"/>
      <c r="N593" s="7"/>
    </row>
    <row r="594" spans="1:14" ht="34.5" customHeight="1" x14ac:dyDescent="0.25">
      <c r="A594" s="26"/>
      <c r="B594" s="16"/>
      <c r="C594" s="13"/>
      <c r="D594" s="28"/>
      <c r="E594" s="17"/>
      <c r="F594" s="17"/>
      <c r="G594" s="14"/>
      <c r="H594" s="14"/>
      <c r="I594" s="19"/>
      <c r="J594" s="1"/>
      <c r="K594" s="32" t="b">
        <f t="shared" si="18"/>
        <v>0</v>
      </c>
      <c r="L594" s="61">
        <f t="shared" si="19"/>
        <v>0</v>
      </c>
      <c r="M594" s="15"/>
      <c r="N594" s="7"/>
    </row>
    <row r="595" spans="1:14" ht="34.5" customHeight="1" x14ac:dyDescent="0.25">
      <c r="A595" s="26"/>
      <c r="B595" s="16"/>
      <c r="C595" s="13"/>
      <c r="D595" s="28"/>
      <c r="E595" s="17"/>
      <c r="F595" s="17"/>
      <c r="G595" s="14"/>
      <c r="H595" s="14"/>
      <c r="I595" s="19"/>
      <c r="J595" s="1"/>
      <c r="K595" s="32" t="b">
        <f t="shared" si="18"/>
        <v>0</v>
      </c>
      <c r="L595" s="61">
        <f t="shared" si="19"/>
        <v>0</v>
      </c>
      <c r="M595" s="15"/>
      <c r="N595" s="7"/>
    </row>
    <row r="596" spans="1:14" ht="34.5" customHeight="1" x14ac:dyDescent="0.25">
      <c r="A596" s="26"/>
      <c r="B596" s="16"/>
      <c r="C596" s="13"/>
      <c r="D596" s="28"/>
      <c r="E596" s="17"/>
      <c r="F596" s="17"/>
      <c r="G596" s="14"/>
      <c r="H596" s="14"/>
      <c r="I596" s="19"/>
      <c r="J596" s="1"/>
      <c r="K596" s="32" t="b">
        <f t="shared" si="18"/>
        <v>0</v>
      </c>
      <c r="L596" s="61">
        <f t="shared" si="19"/>
        <v>0</v>
      </c>
      <c r="M596" s="15"/>
      <c r="N596" s="7"/>
    </row>
    <row r="597" spans="1:14" ht="34.5" customHeight="1" x14ac:dyDescent="0.25">
      <c r="A597" s="26"/>
      <c r="B597" s="16"/>
      <c r="C597" s="13"/>
      <c r="D597" s="28"/>
      <c r="E597" s="17"/>
      <c r="F597" s="17"/>
      <c r="G597" s="14"/>
      <c r="H597" s="14"/>
      <c r="I597" s="19"/>
      <c r="J597" s="1"/>
      <c r="K597" s="32" t="b">
        <f t="shared" si="18"/>
        <v>0</v>
      </c>
      <c r="L597" s="61">
        <f t="shared" si="19"/>
        <v>0</v>
      </c>
      <c r="M597" s="15"/>
      <c r="N597" s="7"/>
    </row>
    <row r="598" spans="1:14" ht="34.5" customHeight="1" x14ac:dyDescent="0.25">
      <c r="A598" s="26"/>
      <c r="B598" s="16"/>
      <c r="C598" s="13"/>
      <c r="D598" s="28"/>
      <c r="E598" s="17"/>
      <c r="F598" s="17"/>
      <c r="G598" s="14"/>
      <c r="H598" s="14"/>
      <c r="I598" s="19"/>
      <c r="J598" s="1"/>
      <c r="K598" s="32" t="b">
        <f t="shared" si="18"/>
        <v>0</v>
      </c>
      <c r="L598" s="61">
        <f t="shared" si="19"/>
        <v>0</v>
      </c>
      <c r="M598" s="15"/>
      <c r="N598" s="7"/>
    </row>
    <row r="599" spans="1:14" ht="34.5" customHeight="1" x14ac:dyDescent="0.25">
      <c r="A599" s="26"/>
      <c r="B599" s="16"/>
      <c r="C599" s="13"/>
      <c r="D599" s="28"/>
      <c r="E599" s="17"/>
      <c r="F599" s="17"/>
      <c r="G599" s="14"/>
      <c r="H599" s="14"/>
      <c r="I599" s="19"/>
      <c r="J599" s="1"/>
      <c r="K599" s="32" t="b">
        <f t="shared" si="18"/>
        <v>0</v>
      </c>
      <c r="L599" s="61">
        <f t="shared" si="19"/>
        <v>0</v>
      </c>
      <c r="M599" s="15"/>
      <c r="N599" s="7"/>
    </row>
    <row r="600" spans="1:14" ht="34.5" customHeight="1" x14ac:dyDescent="0.25">
      <c r="A600" s="26"/>
      <c r="B600" s="16"/>
      <c r="C600" s="13"/>
      <c r="D600" s="28"/>
      <c r="E600" s="17"/>
      <c r="F600" s="17"/>
      <c r="G600" s="14"/>
      <c r="H600" s="14"/>
      <c r="I600" s="19"/>
      <c r="J600" s="1"/>
      <c r="K600" s="32" t="b">
        <f t="shared" si="18"/>
        <v>0</v>
      </c>
      <c r="L600" s="61">
        <f t="shared" si="19"/>
        <v>0</v>
      </c>
      <c r="M600" s="15"/>
      <c r="N600" s="7"/>
    </row>
    <row r="601" spans="1:14" ht="34.5" customHeight="1" x14ac:dyDescent="0.25">
      <c r="A601" s="26"/>
      <c r="B601" s="16"/>
      <c r="C601" s="13"/>
      <c r="D601" s="28"/>
      <c r="E601" s="17"/>
      <c r="F601" s="17"/>
      <c r="G601" s="14"/>
      <c r="H601" s="14"/>
      <c r="I601" s="19"/>
      <c r="J601" s="1"/>
      <c r="K601" s="32" t="b">
        <f t="shared" si="18"/>
        <v>0</v>
      </c>
      <c r="L601" s="61">
        <f t="shared" si="19"/>
        <v>0</v>
      </c>
      <c r="M601" s="15"/>
      <c r="N601" s="7"/>
    </row>
    <row r="602" spans="1:14" ht="34.5" customHeight="1" x14ac:dyDescent="0.25">
      <c r="A602" s="26"/>
      <c r="B602" s="16"/>
      <c r="C602" s="13"/>
      <c r="D602" s="28"/>
      <c r="E602" s="17"/>
      <c r="F602" s="17"/>
      <c r="G602" s="14"/>
      <c r="H602" s="14"/>
      <c r="I602" s="19"/>
      <c r="J602" s="1"/>
      <c r="K602" s="32" t="b">
        <f t="shared" si="18"/>
        <v>0</v>
      </c>
      <c r="L602" s="61">
        <f t="shared" si="19"/>
        <v>0</v>
      </c>
      <c r="M602" s="15"/>
      <c r="N602" s="7"/>
    </row>
    <row r="603" spans="1:14" ht="34.5" customHeight="1" x14ac:dyDescent="0.25">
      <c r="A603" s="26"/>
      <c r="B603" s="16"/>
      <c r="C603" s="13"/>
      <c r="D603" s="28"/>
      <c r="E603" s="17"/>
      <c r="F603" s="17"/>
      <c r="G603" s="14"/>
      <c r="H603" s="14"/>
      <c r="I603" s="19"/>
      <c r="J603" s="1"/>
      <c r="K603" s="32" t="b">
        <f t="shared" si="18"/>
        <v>0</v>
      </c>
      <c r="L603" s="61">
        <f t="shared" si="19"/>
        <v>0</v>
      </c>
      <c r="M603" s="15"/>
      <c r="N603" s="7"/>
    </row>
    <row r="604" spans="1:14" ht="34.5" customHeight="1" x14ac:dyDescent="0.25">
      <c r="A604" s="26"/>
      <c r="B604" s="16"/>
      <c r="C604" s="13"/>
      <c r="D604" s="28"/>
      <c r="E604" s="17"/>
      <c r="F604" s="17"/>
      <c r="G604" s="14"/>
      <c r="H604" s="14"/>
      <c r="I604" s="19"/>
      <c r="J604" s="1"/>
      <c r="K604" s="32" t="b">
        <f t="shared" si="18"/>
        <v>0</v>
      </c>
      <c r="L604" s="61">
        <f t="shared" si="19"/>
        <v>0</v>
      </c>
      <c r="M604" s="15"/>
      <c r="N604" s="7"/>
    </row>
    <row r="605" spans="1:14" ht="34.5" customHeight="1" x14ac:dyDescent="0.25">
      <c r="A605" s="26"/>
      <c r="B605" s="16"/>
      <c r="C605" s="13"/>
      <c r="D605" s="28"/>
      <c r="E605" s="17"/>
      <c r="F605" s="17"/>
      <c r="G605" s="14"/>
      <c r="H605" s="14"/>
      <c r="I605" s="19"/>
      <c r="J605" s="1"/>
      <c r="K605" s="32" t="b">
        <f t="shared" si="18"/>
        <v>0</v>
      </c>
      <c r="L605" s="61">
        <f t="shared" si="19"/>
        <v>0</v>
      </c>
      <c r="M605" s="15"/>
      <c r="N605" s="7"/>
    </row>
    <row r="606" spans="1:14" ht="34.5" customHeight="1" x14ac:dyDescent="0.25">
      <c r="A606" s="26"/>
      <c r="B606" s="16"/>
      <c r="C606" s="13"/>
      <c r="D606" s="28"/>
      <c r="E606" s="17"/>
      <c r="F606" s="17"/>
      <c r="G606" s="14"/>
      <c r="H606" s="14"/>
      <c r="I606" s="19"/>
      <c r="J606" s="1"/>
      <c r="K606" s="32" t="b">
        <f t="shared" si="18"/>
        <v>0</v>
      </c>
      <c r="L606" s="61">
        <f t="shared" si="19"/>
        <v>0</v>
      </c>
      <c r="M606" s="15"/>
      <c r="N606" s="7"/>
    </row>
    <row r="607" spans="1:14" ht="34.5" customHeight="1" x14ac:dyDescent="0.25">
      <c r="A607" s="26"/>
      <c r="B607" s="16"/>
      <c r="C607" s="13"/>
      <c r="D607" s="28"/>
      <c r="E607" s="17"/>
      <c r="F607" s="17"/>
      <c r="G607" s="14"/>
      <c r="H607" s="14"/>
      <c r="I607" s="19"/>
      <c r="J607" s="1"/>
      <c r="K607" s="32" t="b">
        <f t="shared" si="18"/>
        <v>0</v>
      </c>
      <c r="L607" s="61">
        <f t="shared" si="19"/>
        <v>0</v>
      </c>
      <c r="M607" s="15"/>
      <c r="N607" s="7"/>
    </row>
    <row r="608" spans="1:14" ht="34.5" customHeight="1" x14ac:dyDescent="0.25">
      <c r="A608" s="26"/>
      <c r="B608" s="16"/>
      <c r="C608" s="13"/>
      <c r="D608" s="28"/>
      <c r="E608" s="17"/>
      <c r="F608" s="17"/>
      <c r="G608" s="14"/>
      <c r="H608" s="14"/>
      <c r="I608" s="19"/>
      <c r="J608" s="1"/>
      <c r="K608" s="32" t="b">
        <f t="shared" si="18"/>
        <v>0</v>
      </c>
      <c r="L608" s="61">
        <f t="shared" si="19"/>
        <v>0</v>
      </c>
      <c r="M608" s="15"/>
      <c r="N608" s="7"/>
    </row>
    <row r="609" spans="1:14" ht="34.5" customHeight="1" x14ac:dyDescent="0.25">
      <c r="A609" s="26"/>
      <c r="B609" s="16"/>
      <c r="C609" s="13"/>
      <c r="D609" s="28"/>
      <c r="E609" s="17"/>
      <c r="F609" s="17"/>
      <c r="G609" s="14"/>
      <c r="H609" s="14"/>
      <c r="I609" s="19"/>
      <c r="J609" s="1"/>
      <c r="K609" s="32" t="b">
        <f t="shared" si="18"/>
        <v>0</v>
      </c>
      <c r="L609" s="61">
        <f t="shared" si="19"/>
        <v>0</v>
      </c>
      <c r="M609" s="15"/>
      <c r="N609" s="7"/>
    </row>
    <row r="610" spans="1:14" ht="34.5" customHeight="1" x14ac:dyDescent="0.25">
      <c r="A610" s="26"/>
      <c r="B610" s="16"/>
      <c r="C610" s="13"/>
      <c r="D610" s="28"/>
      <c r="E610" s="17"/>
      <c r="F610" s="17"/>
      <c r="G610" s="14"/>
      <c r="H610" s="14"/>
      <c r="I610" s="19"/>
      <c r="J610" s="1"/>
      <c r="K610" s="32" t="b">
        <f t="shared" si="18"/>
        <v>0</v>
      </c>
      <c r="L610" s="61">
        <f t="shared" si="19"/>
        <v>0</v>
      </c>
      <c r="M610" s="15"/>
      <c r="N610" s="7"/>
    </row>
    <row r="611" spans="1:14" ht="34.5" customHeight="1" x14ac:dyDescent="0.25">
      <c r="A611" s="26"/>
      <c r="B611" s="16"/>
      <c r="C611" s="13"/>
      <c r="D611" s="28"/>
      <c r="E611" s="17"/>
      <c r="F611" s="17"/>
      <c r="G611" s="14"/>
      <c r="H611" s="14"/>
      <c r="I611" s="19"/>
      <c r="J611" s="1"/>
      <c r="K611" s="32" t="b">
        <f t="shared" si="18"/>
        <v>0</v>
      </c>
      <c r="L611" s="61">
        <f t="shared" si="19"/>
        <v>0</v>
      </c>
      <c r="M611" s="15"/>
      <c r="N611" s="7"/>
    </row>
    <row r="612" spans="1:14" ht="34.5" customHeight="1" x14ac:dyDescent="0.25">
      <c r="A612" s="26"/>
      <c r="B612" s="16"/>
      <c r="C612" s="13"/>
      <c r="D612" s="28"/>
      <c r="E612" s="17"/>
      <c r="F612" s="17"/>
      <c r="G612" s="14"/>
      <c r="H612" s="14"/>
      <c r="I612" s="19"/>
      <c r="J612" s="1"/>
      <c r="K612" s="32" t="b">
        <f t="shared" si="18"/>
        <v>0</v>
      </c>
      <c r="L612" s="61">
        <f t="shared" si="19"/>
        <v>0</v>
      </c>
      <c r="M612" s="15"/>
      <c r="N612" s="7"/>
    </row>
    <row r="613" spans="1:14" ht="34.5" customHeight="1" x14ac:dyDescent="0.25">
      <c r="A613" s="26"/>
      <c r="B613" s="16"/>
      <c r="C613" s="13"/>
      <c r="D613" s="28"/>
      <c r="E613" s="17"/>
      <c r="F613" s="17"/>
      <c r="G613" s="14"/>
      <c r="H613" s="14"/>
      <c r="I613" s="19"/>
      <c r="J613" s="1"/>
      <c r="K613" s="32" t="b">
        <f t="shared" si="18"/>
        <v>0</v>
      </c>
      <c r="L613" s="61">
        <f t="shared" si="19"/>
        <v>0</v>
      </c>
      <c r="M613" s="15"/>
      <c r="N613" s="7"/>
    </row>
    <row r="614" spans="1:14" ht="34.5" customHeight="1" x14ac:dyDescent="0.25">
      <c r="A614" s="26"/>
      <c r="B614" s="16"/>
      <c r="C614" s="13"/>
      <c r="D614" s="28"/>
      <c r="E614" s="17"/>
      <c r="F614" s="17"/>
      <c r="G614" s="14"/>
      <c r="H614" s="14"/>
      <c r="I614" s="19"/>
      <c r="J614" s="1"/>
      <c r="K614" s="32" t="b">
        <f t="shared" si="18"/>
        <v>0</v>
      </c>
      <c r="L614" s="61">
        <f t="shared" si="19"/>
        <v>0</v>
      </c>
      <c r="M614" s="15"/>
      <c r="N614" s="7"/>
    </row>
    <row r="615" spans="1:14" ht="34.5" customHeight="1" x14ac:dyDescent="0.25">
      <c r="A615" s="26"/>
      <c r="B615" s="16"/>
      <c r="C615" s="13"/>
      <c r="D615" s="28"/>
      <c r="E615" s="17"/>
      <c r="F615" s="17"/>
      <c r="G615" s="14"/>
      <c r="H615" s="14"/>
      <c r="I615" s="19"/>
      <c r="J615" s="1"/>
      <c r="K615" s="32" t="b">
        <f t="shared" si="18"/>
        <v>0</v>
      </c>
      <c r="L615" s="61">
        <f t="shared" si="19"/>
        <v>0</v>
      </c>
      <c r="M615" s="15"/>
      <c r="N615" s="7"/>
    </row>
    <row r="616" spans="1:14" s="24" customFormat="1" ht="34.5" customHeight="1" x14ac:dyDescent="0.25">
      <c r="A616" s="12"/>
      <c r="B616" s="4"/>
      <c r="C616" s="12"/>
      <c r="D616" s="12"/>
      <c r="E616" s="4"/>
      <c r="F616" s="4"/>
      <c r="G616" s="3"/>
      <c r="H616" s="3"/>
      <c r="I616" s="22"/>
      <c r="J616" s="11"/>
      <c r="K616" s="32" t="b">
        <f t="shared" si="18"/>
        <v>0</v>
      </c>
      <c r="L616" s="61">
        <f t="shared" si="19"/>
        <v>0</v>
      </c>
      <c r="M616" s="3"/>
      <c r="N616" s="8"/>
    </row>
  </sheetData>
  <autoFilter ref="A4:R616" xr:uid="{00000000-0009-0000-0000-000001000000}">
    <sortState xmlns:xlrd2="http://schemas.microsoft.com/office/spreadsheetml/2017/richdata2" ref="A5:R616">
      <sortCondition ref="A4:A616"/>
    </sortState>
  </autoFilter>
  <mergeCells count="6">
    <mergeCell ref="A1:B3"/>
    <mergeCell ref="C1:M1"/>
    <mergeCell ref="C2:M2"/>
    <mergeCell ref="C3:D3"/>
    <mergeCell ref="E3:G3"/>
    <mergeCell ref="I3:M3"/>
  </mergeCells>
  <conditionalFormatting sqref="K34:L34">
    <cfRule type="cellIs" dxfId="2" priority="3" operator="equal">
      <formula>0</formula>
    </cfRule>
  </conditionalFormatting>
  <conditionalFormatting sqref="L5:M9 L10:L33 L35:L616">
    <cfRule type="cellIs" dxfId="1" priority="10" operator="equal">
      <formula>0</formula>
    </cfRule>
  </conditionalFormatting>
  <conditionalFormatting sqref="M10:M615">
    <cfRule type="cellIs" dxfId="0" priority="17" operator="equal">
      <formula>0</formula>
    </cfRule>
  </conditionalFormatting>
  <pageMargins left="0.25" right="0.25" top="0.75" bottom="0.75" header="0.3" footer="0.3"/>
  <pageSetup paperSize="9" scale="67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9e04-32ab-4766-ab9a-d3cefda9d0c8">
      <Terms xmlns="http://schemas.microsoft.com/office/infopath/2007/PartnerControls"/>
    </lcf76f155ced4ddcb4097134ff3c332f>
    <TaxCatchAll xmlns="6a8e90b8-5229-4ef0-854b-85d673d852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43BC3BDBB13F41A2B58697F674389D" ma:contentTypeVersion="15" ma:contentTypeDescription="Crie um novo documento." ma:contentTypeScope="" ma:versionID="fc24b6a2edb2855b29103b019f7e87c4">
  <xsd:schema xmlns:xsd="http://www.w3.org/2001/XMLSchema" xmlns:xs="http://www.w3.org/2001/XMLSchema" xmlns:p="http://schemas.microsoft.com/office/2006/metadata/properties" xmlns:ns2="6a8e90b8-5229-4ef0-854b-85d673d852da" xmlns:ns3="42879e04-32ab-4766-ab9a-d3cefda9d0c8" targetNamespace="http://schemas.microsoft.com/office/2006/metadata/properties" ma:root="true" ma:fieldsID="33d4cfd3ffd649e16f392f56f69d197f" ns2:_="" ns3:_="">
    <xsd:import namespace="6a8e90b8-5229-4ef0-854b-85d673d852da"/>
    <xsd:import namespace="42879e04-32ab-4766-ab9a-d3cefda9d0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e90b8-5229-4ef0-854b-85d673d852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d3c7ed-0f89-470d-b0d9-23d374bf5de2}" ma:internalName="TaxCatchAll" ma:showField="CatchAllData" ma:web="6a8e90b8-5229-4ef0-854b-85d673d852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9e04-32ab-4766-ab9a-d3cefda9d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668c8f-7127-4ff5-a787-4f5536483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9BDE1-5293-47F3-A47A-762B204556F0}">
  <ds:schemaRefs>
    <ds:schemaRef ds:uri="http://schemas.microsoft.com/office/2006/metadata/properties"/>
    <ds:schemaRef ds:uri="http://schemas.microsoft.com/office/infopath/2007/PartnerControls"/>
    <ds:schemaRef ds:uri="42879e04-32ab-4766-ab9a-d3cefda9d0c8"/>
    <ds:schemaRef ds:uri="6a8e90b8-5229-4ef0-854b-85d673d852da"/>
  </ds:schemaRefs>
</ds:datastoreItem>
</file>

<file path=customXml/itemProps2.xml><?xml version="1.0" encoding="utf-8"?>
<ds:datastoreItem xmlns:ds="http://schemas.openxmlformats.org/officeDocument/2006/customXml" ds:itemID="{E6D3FEC1-E521-4864-A397-068BF8647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04BC4-152D-4B23-8FB8-51CD414EC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8e90b8-5229-4ef0-854b-85d673d852da"/>
    <ds:schemaRef ds:uri="42879e04-32ab-4766-ab9a-d3cefda9d0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Reg-BCM-038</vt:lpstr>
      <vt:lpstr>Inativados</vt:lpstr>
      <vt:lpstr>Inativados!Area_de_impressao</vt:lpstr>
      <vt:lpstr>'Reg-BCM-038'!Area_de_impressao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igor.honorio</dc:creator>
  <cp:lastModifiedBy>BCM Almoxarifado</cp:lastModifiedBy>
  <cp:lastPrinted>2025-08-25T17:35:47Z</cp:lastPrinted>
  <dcterms:created xsi:type="dcterms:W3CDTF">2018-08-17T19:12:13Z</dcterms:created>
  <dcterms:modified xsi:type="dcterms:W3CDTF">2026-07-24T18:26:55Z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0x0101008943BC3BDBB13F41A2B58697F674389D</vt:lpwstr>
  </property>
  <property fmtid="{D5CDD505-2E9C-101B-9397-08002B2CF9AE}" pid="3" name="Order">
    <vt:r8>80600</vt:r8>
  </property>
  <property fmtid="{D5CDD505-2E9C-101B-9397-08002B2CF9AE}" pid="4" name="MediaServiceImageTags">
    <vt:lpwstr/>
  </property>
</Properties>
</file>